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filterPrivacy="1" autoCompressPictures="0"/>
  <xr:revisionPtr revIDLastSave="354" documentId="8_{DAA6AE17-11FE-4876-90F4-69735A134CA8}" xr6:coauthVersionLast="47" xr6:coauthVersionMax="47" xr10:uidLastSave="{3E47D5F5-0C2A-4D4E-BB91-2DCF819ADE91}"/>
  <bookViews>
    <workbookView xWindow="-120" yWindow="-120" windowWidth="20730" windowHeight="11040" activeTab="3" xr2:uid="{00000000-000D-0000-FFFF-FFFF00000000}"/>
  </bookViews>
  <sheets>
    <sheet name="GANTT DIAGRAM" sheetId="1" r:id="rId1"/>
    <sheet name="Sheet1" sheetId="2" r:id="rId2"/>
    <sheet name="Sheet2" sheetId="4" r:id="rId3"/>
    <sheet name="Burndown" sheetId="3" r:id="rId4"/>
  </sheets>
  <definedNames>
    <definedName name="_xlnm._FilterDatabase" localSheetId="0" hidden="1">'GANTT DIAGRAM'!$B$3:$DJ$128</definedName>
    <definedName name="_xlnm._FilterDatabase" localSheetId="1" hidden="1">Sheet1!$A$2:$L$103</definedName>
    <definedName name="ActualBeyond">PeriodInActual*('GANTT DIAGRAM'!$I1&gt;0)</definedName>
    <definedName name="PercentComplete">PercentCompleteBeyond*PeriodInPlan</definedName>
    <definedName name="PercentCompleteBeyond">('GANTT DIAGRAM'!A$4=MEDIAN('GANTT DIAGRAM'!A$4,'GANTT DIAGRAM'!$I1,'GANTT DIAGRAM'!$I1+'GANTT DIAGRAM'!$J1)*('GANTT DIAGRAM'!$I1&gt;0))*(('GANTT DIAGRAM'!A$4&lt;(INT('GANTT DIAGRAM'!$I1+'GANTT DIAGRAM'!$J1*'GANTT DIAGRAM'!$K1)))+('GANTT DIAGRAM'!A$4='GANTT DIAGRAM'!$I1))*('GANTT DIAGRAM'!$K1&gt;0)</definedName>
    <definedName name="period_selected">'GANTT DIAGRAM'!$L$2</definedName>
    <definedName name="PeriodInActual">'GANTT DIAGRAM'!A$4=MEDIAN('GANTT DIAGRAM'!A$4,'GANTT DIAGRAM'!$I1,'GANTT DIAGRAM'!$I1+'GANTT DIAGRAM'!$J1-1)</definedName>
    <definedName name="PeriodInPlan">'GANTT DIAGRAM'!A$4=MEDIAN('GANTT DIAGRAM'!A$4,'GANTT DIAGRAM'!$G1,'GANTT DIAGRAM'!$G1+'GANTT DIAGRAM'!$H1-1)</definedName>
    <definedName name="Plan">PeriodInPlan*('GANTT DIAGRAM'!$G1&gt;0)</definedName>
    <definedName name="_xlnm.Print_Titles" localSheetId="0">'GANTT DIAGRAM'!$3:$4</definedName>
    <definedName name="Real">(PeriodInActual*('GANTT DIAGRAM'!$I1&gt;0))*PeriodInPlan</definedName>
    <definedName name="TitleRegion..BO60">'GANTT DIAGRAM'!$C$3:$C$4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3" l="1"/>
  <c r="F3" i="3"/>
  <c r="E4" i="3"/>
  <c r="F4" i="3"/>
  <c r="E5" i="3"/>
  <c r="F5" i="3"/>
  <c r="E6" i="3"/>
  <c r="F6" i="3"/>
  <c r="E7" i="3"/>
  <c r="F7" i="3"/>
  <c r="E8" i="3"/>
  <c r="F8" i="3"/>
  <c r="E9" i="3"/>
  <c r="F9" i="3"/>
  <c r="E10" i="3"/>
  <c r="F10" i="3"/>
  <c r="E11" i="3"/>
  <c r="F11" i="3"/>
  <c r="E12" i="3"/>
  <c r="F12" i="3"/>
  <c r="E13" i="3"/>
  <c r="F13" i="3"/>
  <c r="E14" i="3"/>
  <c r="F14" i="3"/>
  <c r="E15" i="3"/>
  <c r="F15" i="3"/>
  <c r="E16" i="3"/>
  <c r="F16" i="3"/>
  <c r="E17" i="3"/>
  <c r="F17" i="3"/>
  <c r="E18" i="3"/>
  <c r="F18" i="3"/>
  <c r="E19" i="3"/>
  <c r="F19" i="3"/>
  <c r="E20" i="3"/>
  <c r="F20" i="3"/>
  <c r="E21" i="3"/>
  <c r="F21" i="3"/>
  <c r="E22" i="3"/>
  <c r="F22" i="3"/>
  <c r="E23" i="3"/>
  <c r="F23" i="3"/>
  <c r="E24" i="3"/>
  <c r="F24" i="3"/>
  <c r="E25" i="3"/>
  <c r="F25" i="3"/>
  <c r="E26" i="3"/>
  <c r="F26" i="3"/>
  <c r="E27" i="3"/>
  <c r="F27" i="3"/>
  <c r="E28" i="3"/>
  <c r="F28" i="3"/>
  <c r="E29" i="3"/>
  <c r="F29" i="3"/>
  <c r="E30" i="3"/>
  <c r="F30" i="3"/>
  <c r="E31" i="3"/>
  <c r="F31" i="3"/>
  <c r="E32" i="3"/>
  <c r="F32" i="3"/>
  <c r="E33" i="3"/>
  <c r="F33" i="3"/>
  <c r="E34" i="3"/>
  <c r="F34" i="3"/>
  <c r="E35" i="3"/>
  <c r="F35" i="3"/>
  <c r="E36" i="3"/>
  <c r="F36" i="3"/>
  <c r="E37" i="3"/>
  <c r="F37" i="3"/>
  <c r="E38" i="3"/>
  <c r="F38" i="3"/>
  <c r="E39" i="3"/>
  <c r="F39" i="3"/>
  <c r="E40" i="3"/>
  <c r="F40" i="3"/>
  <c r="E41" i="3"/>
  <c r="F41" i="3"/>
  <c r="E42" i="3"/>
  <c r="F42" i="3"/>
  <c r="E43" i="3"/>
  <c r="F43" i="3"/>
  <c r="E44" i="3"/>
  <c r="F44" i="3"/>
  <c r="E45" i="3"/>
  <c r="F45" i="3"/>
  <c r="E46" i="3"/>
  <c r="F46" i="3"/>
  <c r="E47" i="3"/>
  <c r="F47" i="3"/>
  <c r="E48" i="3"/>
  <c r="F48" i="3"/>
  <c r="E49" i="3"/>
  <c r="F49" i="3"/>
  <c r="E50" i="3"/>
  <c r="F50" i="3"/>
  <c r="E51" i="3"/>
  <c r="F51" i="3"/>
  <c r="E52" i="3"/>
  <c r="F52" i="3"/>
  <c r="E53" i="3"/>
  <c r="F53" i="3"/>
  <c r="E54" i="3"/>
  <c r="F54" i="3"/>
  <c r="E55" i="3"/>
  <c r="F55" i="3"/>
  <c r="E56" i="3"/>
  <c r="F56" i="3"/>
  <c r="E57" i="3"/>
  <c r="F57" i="3"/>
  <c r="E58" i="3"/>
  <c r="F58" i="3"/>
  <c r="E59" i="3"/>
  <c r="F59" i="3"/>
  <c r="E60" i="3"/>
  <c r="F60" i="3"/>
  <c r="E61" i="3"/>
  <c r="F61" i="3"/>
  <c r="E62" i="3"/>
  <c r="F62" i="3"/>
  <c r="E63" i="3"/>
  <c r="F63" i="3"/>
  <c r="E64" i="3"/>
  <c r="F64" i="3"/>
  <c r="E65" i="3"/>
  <c r="F65" i="3"/>
  <c r="E66" i="3"/>
  <c r="F66" i="3"/>
  <c r="E67" i="3"/>
  <c r="F67" i="3"/>
  <c r="E68" i="3"/>
  <c r="F68" i="3"/>
  <c r="E69" i="3"/>
  <c r="F69" i="3"/>
  <c r="E70" i="3"/>
  <c r="F70" i="3"/>
  <c r="E71" i="3"/>
  <c r="F71" i="3"/>
  <c r="E72" i="3"/>
  <c r="F72" i="3"/>
  <c r="E73" i="3"/>
  <c r="F73" i="3"/>
  <c r="E74" i="3"/>
  <c r="F74" i="3"/>
  <c r="E75" i="3"/>
  <c r="F75" i="3"/>
  <c r="E76" i="3"/>
  <c r="F76" i="3"/>
  <c r="E77" i="3"/>
  <c r="F77" i="3"/>
  <c r="E78" i="3"/>
  <c r="F78" i="3"/>
  <c r="E79" i="3"/>
  <c r="F79" i="3"/>
  <c r="E80" i="3"/>
  <c r="F80" i="3"/>
  <c r="E81" i="3"/>
  <c r="F81" i="3"/>
  <c r="E82" i="3"/>
  <c r="F82" i="3"/>
  <c r="E83" i="3"/>
  <c r="F83" i="3"/>
  <c r="E84" i="3"/>
  <c r="F84" i="3"/>
  <c r="E85" i="3"/>
  <c r="F85" i="3"/>
  <c r="F86" i="3"/>
  <c r="F2" i="3"/>
  <c r="E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2" i="3"/>
  <c r="E16" i="4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3" i="3"/>
  <c r="L102" i="2" l="1"/>
  <c r="J3" i="2"/>
  <c r="K3" i="2"/>
  <c r="J4" i="2"/>
  <c r="K4" i="2"/>
  <c r="J5" i="2"/>
  <c r="K5" i="2"/>
  <c r="J7" i="2"/>
  <c r="K7" i="2"/>
  <c r="J12" i="2"/>
  <c r="K12" i="2"/>
  <c r="J13" i="2"/>
  <c r="K13" i="2"/>
  <c r="J14" i="2"/>
  <c r="K14" i="2"/>
  <c r="J15" i="2"/>
  <c r="K15" i="2"/>
  <c r="J16" i="2"/>
  <c r="K16" i="2"/>
  <c r="J6" i="2"/>
  <c r="K6" i="2"/>
  <c r="J8" i="2"/>
  <c r="K8" i="2"/>
  <c r="J9" i="2"/>
  <c r="K9" i="2"/>
  <c r="J10" i="2"/>
  <c r="K10" i="2"/>
  <c r="J11" i="2"/>
  <c r="K11" i="2"/>
  <c r="J17" i="2"/>
  <c r="K17" i="2"/>
  <c r="J18" i="2"/>
  <c r="K18" i="2"/>
  <c r="J20" i="2"/>
  <c r="K20" i="2"/>
  <c r="J25" i="2"/>
  <c r="K25" i="2"/>
  <c r="J37" i="2"/>
  <c r="K37" i="2"/>
  <c r="J49" i="2"/>
  <c r="K49" i="2"/>
  <c r="J32" i="2"/>
  <c r="K32" i="2"/>
  <c r="J33" i="2"/>
  <c r="K33" i="2"/>
  <c r="J52" i="2"/>
  <c r="K52" i="2"/>
  <c r="J53" i="2"/>
  <c r="K53" i="2"/>
  <c r="J47" i="2"/>
  <c r="K47" i="2"/>
  <c r="J54" i="2"/>
  <c r="K54" i="2"/>
  <c r="J30" i="2"/>
  <c r="K30" i="2"/>
  <c r="J38" i="2"/>
  <c r="K38" i="2"/>
  <c r="J23" i="2"/>
  <c r="K23" i="2"/>
  <c r="J34" i="2"/>
  <c r="K34" i="2"/>
  <c r="J22" i="2"/>
  <c r="K22" i="2"/>
  <c r="J29" i="2"/>
  <c r="K29" i="2"/>
  <c r="J31" i="2"/>
  <c r="K31" i="2"/>
  <c r="J48" i="2"/>
  <c r="K48" i="2"/>
  <c r="J26" i="2"/>
  <c r="K26" i="2"/>
  <c r="J35" i="2"/>
  <c r="K35" i="2"/>
  <c r="J39" i="2"/>
  <c r="K39" i="2"/>
  <c r="J21" i="2"/>
  <c r="K21" i="2"/>
  <c r="J24" i="2"/>
  <c r="K24" i="2"/>
  <c r="J42" i="2"/>
  <c r="K42" i="2"/>
  <c r="J44" i="2"/>
  <c r="K44" i="2"/>
  <c r="J81" i="2"/>
  <c r="K81" i="2"/>
  <c r="J36" i="2"/>
  <c r="K36" i="2"/>
  <c r="J45" i="2"/>
  <c r="K45" i="2"/>
  <c r="J46" i="2"/>
  <c r="K46" i="2"/>
  <c r="J50" i="2"/>
  <c r="K50" i="2"/>
  <c r="J40" i="2"/>
  <c r="K40" i="2"/>
  <c r="J55" i="2"/>
  <c r="K55" i="2"/>
  <c r="J56" i="2"/>
  <c r="K56" i="2"/>
  <c r="J58" i="2"/>
  <c r="K58" i="2"/>
  <c r="J59" i="2"/>
  <c r="K59" i="2"/>
  <c r="J67" i="2"/>
  <c r="K67" i="2"/>
  <c r="J27" i="2"/>
  <c r="K27" i="2"/>
  <c r="J28" i="2"/>
  <c r="K28" i="2"/>
  <c r="J41" i="2"/>
  <c r="K41" i="2"/>
  <c r="J43" i="2"/>
  <c r="K43" i="2"/>
  <c r="J51" i="2"/>
  <c r="K51" i="2"/>
  <c r="J86" i="2"/>
  <c r="K86" i="2"/>
  <c r="J62" i="2"/>
  <c r="K62" i="2"/>
  <c r="J88" i="2"/>
  <c r="K88" i="2"/>
  <c r="J57" i="2"/>
  <c r="K57" i="2"/>
  <c r="J79" i="2"/>
  <c r="K79" i="2"/>
  <c r="J100" i="2"/>
  <c r="K100" i="2"/>
  <c r="J101" i="2"/>
  <c r="K101" i="2"/>
  <c r="J82" i="2"/>
  <c r="K82" i="2"/>
  <c r="J93" i="2"/>
  <c r="K93" i="2"/>
  <c r="J69" i="2"/>
  <c r="K69" i="2"/>
  <c r="J77" i="2"/>
  <c r="K77" i="2"/>
  <c r="J63" i="2"/>
  <c r="K63" i="2"/>
  <c r="J71" i="2"/>
  <c r="K71" i="2"/>
  <c r="J89" i="2"/>
  <c r="K89" i="2"/>
  <c r="J84" i="2"/>
  <c r="L84" i="2" s="1"/>
  <c r="K84" i="2"/>
  <c r="J61" i="2"/>
  <c r="K61" i="2"/>
  <c r="J64" i="2"/>
  <c r="K64" i="2"/>
  <c r="J65" i="2"/>
  <c r="K65" i="2"/>
  <c r="J66" i="2"/>
  <c r="K66" i="2"/>
  <c r="J70" i="2"/>
  <c r="K70" i="2"/>
  <c r="J72" i="2"/>
  <c r="K72" i="2"/>
  <c r="J73" i="2"/>
  <c r="K73" i="2"/>
  <c r="J74" i="2"/>
  <c r="K74" i="2"/>
  <c r="J75" i="2"/>
  <c r="K75" i="2"/>
  <c r="J76" i="2"/>
  <c r="K76" i="2"/>
  <c r="J95" i="2"/>
  <c r="L95" i="2" s="1"/>
  <c r="K95" i="2"/>
  <c r="J97" i="2"/>
  <c r="L97" i="2" s="1"/>
  <c r="K97" i="2"/>
  <c r="J99" i="2"/>
  <c r="L99" i="2" s="1"/>
  <c r="K99" i="2"/>
  <c r="J92" i="2"/>
  <c r="L92" i="2" s="1"/>
  <c r="K92" i="2"/>
  <c r="J78" i="2"/>
  <c r="L78" i="2" s="1"/>
  <c r="K78" i="2"/>
  <c r="J83" i="2"/>
  <c r="L83" i="2" s="1"/>
  <c r="K83" i="2"/>
  <c r="J68" i="2"/>
  <c r="L68" i="2" s="1"/>
  <c r="K68" i="2"/>
  <c r="J80" i="2"/>
  <c r="L80" i="2" s="1"/>
  <c r="K80" i="2"/>
  <c r="J102" i="2"/>
  <c r="K102" i="2"/>
  <c r="J60" i="2"/>
  <c r="L60" i="2" s="1"/>
  <c r="K60" i="2"/>
  <c r="J85" i="2"/>
  <c r="L85" i="2" s="1"/>
  <c r="K85" i="2"/>
  <c r="J87" i="2"/>
  <c r="L87" i="2" s="1"/>
  <c r="K87" i="2"/>
  <c r="J90" i="2"/>
  <c r="L90" i="2" s="1"/>
  <c r="K90" i="2"/>
  <c r="J91" i="2"/>
  <c r="L91" i="2" s="1"/>
  <c r="K91" i="2"/>
  <c r="J94" i="2"/>
  <c r="L94" i="2" s="1"/>
  <c r="K94" i="2"/>
  <c r="J96" i="2"/>
  <c r="L96" i="2" s="1"/>
  <c r="K96" i="2"/>
  <c r="J98" i="2"/>
  <c r="L98" i="2" s="1"/>
  <c r="K98" i="2"/>
  <c r="J103" i="2"/>
  <c r="L103" i="2" s="1"/>
  <c r="K103" i="2"/>
  <c r="K19" i="2"/>
  <c r="J19" i="2"/>
  <c r="G2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33AF175-F704-429F-A042-266AA9753486}" keepAlive="1" name="Consulta - period_selected" description="Conexión a la consulta 'period_selected' en el libro." type="5" refreshedVersion="0" background="1" saveData="1">
    <dbPr connection="Provider=Microsoft.Mashup.OleDb.1;Data Source=$Workbook$;Location=period_selected;Extended Properties=&quot;&quot;" command="SELECT * FROM [period_selected]"/>
  </connection>
</connections>
</file>

<file path=xl/sharedStrings.xml><?xml version="1.0" encoding="utf-8"?>
<sst xmlns="http://schemas.openxmlformats.org/spreadsheetml/2006/main" count="962" uniqueCount="259">
  <si>
    <t>ID</t>
  </si>
  <si>
    <t>REPORT</t>
  </si>
  <si>
    <t>University Enrollment System</t>
  </si>
  <si>
    <t>RESPONSIBLE</t>
  </si>
  <si>
    <t>START DATE</t>
  </si>
  <si>
    <t>DURATION</t>
  </si>
  <si>
    <t>REAL START</t>
  </si>
  <si>
    <t>REAL DURATION</t>
  </si>
  <si>
    <t>REQUIREMENTS AND INITIAL PROJECT SETUP</t>
  </si>
  <si>
    <t>PROJECT PROGRESS REPORT</t>
  </si>
  <si>
    <t>PROJECT PROPOSAL AND PRESENTATION</t>
  </si>
  <si>
    <t>All group</t>
  </si>
  <si>
    <t>Select the period to  show advance</t>
  </si>
  <si>
    <t>Period Select</t>
  </si>
  <si>
    <t>Plan duration</t>
  </si>
  <si>
    <t>Real Start</t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</si>
  <si>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Completed</t>
    </r>
  </si>
  <si>
    <r>
      <rPr>
        <sz val="12"/>
        <color theme="1" tint="0.24994659260841701"/>
        <rFont val="Calibri"/>
        <family val="2"/>
      </rPr>
      <t>Real (Out of plan</t>
    </r>
    <r>
      <rPr>
        <sz val="11"/>
        <color theme="1" tint="0.24994659260841701"/>
        <rFont val="Corbel"/>
        <family val="2"/>
        <scheme val="major"/>
      </rPr>
      <t>)</t>
    </r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</si>
  <si>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Completed (Out of plan)</t>
    </r>
  </si>
  <si>
    <t>Create a landing page for our website #1</t>
  </si>
  <si>
    <t>Proposal - Presentation #2</t>
  </si>
  <si>
    <t>Proposal - Report #3</t>
  </si>
  <si>
    <t>Afiya-Farjana</t>
  </si>
  <si>
    <t>Create the rules-based chatbot #5</t>
  </si>
  <si>
    <t xml:space="preserve">Arnoldo </t>
  </si>
  <si>
    <t>Marcelo</t>
  </si>
  <si>
    <t>Jose</t>
  </si>
  <si>
    <t>Create a Gantt chart #6</t>
  </si>
  <si>
    <t>Create program pages #7</t>
  </si>
  <si>
    <t>Create the user registration system #8</t>
  </si>
  <si>
    <t>Establish tasks and resposibles</t>
  </si>
  <si>
    <t>DEVELOPMENT AND INTEGRATION</t>
  </si>
  <si>
    <t>Create program (landing) pages #4</t>
  </si>
  <si>
    <t>ACTIVITY (WBS)</t>
  </si>
  <si>
    <t>Brainstorm and select a feasible project idea</t>
  </si>
  <si>
    <t>Write the project proposal report following the given template</t>
  </si>
  <si>
    <t>Review and finalize content as a team</t>
  </si>
  <si>
    <t xml:space="preserve">Submit the report to the professor </t>
  </si>
  <si>
    <t>Outline the main sections of the proposal (objectives, problem, motivation, features)</t>
  </si>
  <si>
    <t>Design slide layout and visual style</t>
  </si>
  <si>
    <t>Write concise bullet points and talking notes</t>
  </si>
  <si>
    <t>Rehearse the presentation as a team</t>
  </si>
  <si>
    <t>Submit the final slides to the instructor / TA</t>
  </si>
  <si>
    <t>Set up Django base project and directory structure</t>
  </si>
  <si>
    <t>Create base.html and index.html templates</t>
  </si>
  <si>
    <t>Add navigation bar with links to main pages</t>
  </si>
  <si>
    <t>Add CSS styling for layout and responsiveness</t>
  </si>
  <si>
    <t>Test that the page loads correctly and navigation works</t>
  </si>
  <si>
    <t>Clone and set up the existing Django project from GitHub</t>
  </si>
  <si>
    <t>Design and integrate a custom university logo for consistent branding</t>
  </si>
  <si>
    <t>Add and style the navigation bar with active link highlighting using navbar.js</t>
  </si>
  <si>
    <t>Design and develop the main homepage, including a footer and embedded chatbox</t>
  </si>
  <si>
    <t>Create a dynamic admissions section using admission_sidebar.js to load pages (Graduate, Undergraduate, Online, Funding &amp; Scholarships) without reloading</t>
  </si>
  <si>
    <t xml:space="preserve">Implement breadcrumbs to display navigation paths (e.g., Home / Admissions / Graduate) </t>
  </si>
  <si>
    <t>Develop and link additional pages (Faculty, Departments, Contact Us) through Django views and URLs</t>
  </si>
  <si>
    <t>Apply consistent responsive styling using style.css and admissions.css for a cohesive design</t>
  </si>
  <si>
    <t>Test and verify page loading, dynamic content switching, and navigation flow to ensure all integrated elements work smoothly together</t>
  </si>
  <si>
    <t>Set up of Authentication App inside Django, including Migrations and proper set up</t>
  </si>
  <si>
    <t xml:space="preserve">Creation of Administrator section and Superuser credentials </t>
  </si>
  <si>
    <t>Creation of Registration Form, along with UI changes and middleware set up</t>
  </si>
  <si>
    <t>Creation of Log In Form, along with UI changes and middleware set up</t>
  </si>
  <si>
    <t>Creation of Log Out Form, along with UI changes and middleware set up</t>
  </si>
  <si>
    <t>Website Localization</t>
  </si>
  <si>
    <t>Chatbot Localization</t>
  </si>
  <si>
    <t>Testing</t>
  </si>
  <si>
    <t>Configure i18n in settings.py</t>
  </si>
  <si>
    <t>Add LocaleMiddleware and update middleware order</t>
  </si>
  <si>
    <t xml:space="preserve">Add language switch dropdown to navbar template </t>
  </si>
  <si>
    <t>Use tags in all templates</t>
  </si>
  <si>
    <t xml:space="preserve">Generate translation files </t>
  </si>
  <si>
    <t>Translate English → Mongolian for static UI texts</t>
  </si>
  <si>
    <t xml:space="preserve">Read active language from cookie/session in chatbot endpoint </t>
  </si>
  <si>
    <t>Implement language-aware rule-based chatbot logic</t>
  </si>
  <si>
    <t xml:space="preserve">Add translation dictionary (MVP) for chatbot responses (English &amp; Mongolian) </t>
  </si>
  <si>
    <t>Return chatbot replies in the user’s selected language</t>
  </si>
  <si>
    <t>Test chatbot responses in both languages</t>
  </si>
  <si>
    <t>Verify language switch affects both website and chatbot</t>
  </si>
  <si>
    <t>Write unit tests for language persistence and localized chatbot replies</t>
  </si>
  <si>
    <t>Prepare demo steps and update documentation</t>
  </si>
  <si>
    <t>Identify all project activities and deliverables from the proposal document</t>
  </si>
  <si>
    <t>Define each task’s start and end dates, duration, and dependencies</t>
  </si>
  <si>
    <t>Assign responsible members for each task</t>
  </si>
  <si>
    <t>Create the Gantt chart using Excel</t>
  </si>
  <si>
    <t>Create chat layout</t>
  </si>
  <si>
    <t>Add redirects to each program</t>
  </si>
  <si>
    <t>Design a program page including the available programs, a sidebar including the list (Undergraduate, Graduate, Online Courses)</t>
  </si>
  <si>
    <t>Create a sidebar for undergraduate, graduate, online courses section which are collapsible and are used to load pages (Undergraduate, Graduate, Online Courses) without reloading</t>
  </si>
  <si>
    <t>Implement breadcrumbs to display navigation paths (e.g., Programs / Undergraduate / BSc in Computer Science)</t>
  </si>
  <si>
    <t>Develop and link additional pages (Program Details) through Django views and URLs</t>
  </si>
  <si>
    <t>Apply consistent responsive styling using pages.css and style.css for a cohesive design</t>
  </si>
  <si>
    <t>Test and verify page loading, dynamic content navigation, and seamless flow through to ensure out all integrated elements</t>
  </si>
  <si>
    <t>Create language switch #9</t>
  </si>
  <si>
    <t>Create the User Feedback System #12</t>
  </si>
  <si>
    <t>Nabil</t>
  </si>
  <si>
    <t>Creating automatic resource delivery after registration #14</t>
  </si>
  <si>
    <t>Create chat transcript functionality for students #15</t>
  </si>
  <si>
    <t>Unit Test: Chatbot #16</t>
  </si>
  <si>
    <t>Configure the project database #17</t>
  </si>
  <si>
    <t>Progress Presentation #19</t>
  </si>
  <si>
    <t>Project Summary</t>
  </si>
  <si>
    <t>Use Case diagram summarizing the features</t>
  </si>
  <si>
    <t>Progress to Date</t>
  </si>
  <si>
    <t>Challenges and Solutions</t>
  </si>
  <si>
    <t>Next Steps</t>
  </si>
  <si>
    <t>Progress Report #20</t>
  </si>
  <si>
    <t>Set up the Django environment</t>
  </si>
  <si>
    <t>Download and clone the existing project</t>
  </si>
  <si>
    <t xml:space="preserve">Create the feedback input boxes utilizing Django forms </t>
  </si>
  <si>
    <t xml:space="preserve">Connect to the database </t>
  </si>
  <si>
    <t>Set up the feedback button in the navbar and match css styling to be consistent with the rest of the pages</t>
  </si>
  <si>
    <t>Perform the unit and demo tests</t>
  </si>
  <si>
    <t>Create student enrollment system #18</t>
  </si>
  <si>
    <t>ITERATION</t>
  </si>
  <si>
    <t>Jannat</t>
  </si>
  <si>
    <t>Add email field to user registration form using a custom UserRegistrationForm</t>
  </si>
  <si>
    <t>Update registration view to use the new form and validate email</t>
  </si>
  <si>
    <t>Implement helper function to send welcome + admission resources email</t>
  </si>
  <si>
    <t>Integrate email sending logic into the registration flow (trigger after successful registration)</t>
  </si>
  <si>
    <t>Configure SMTP email backend using .env (Ethereal for dev)</t>
  </si>
  <si>
    <t>Test email delivery + update E2E test to support new email field in registration flow</t>
  </si>
  <si>
    <t>Create Program models</t>
  </si>
  <si>
    <t>Create User models</t>
  </si>
  <si>
    <t>Create signal to detect changes on users</t>
  </si>
  <si>
    <t>Unit Test: Pages #27</t>
  </si>
  <si>
    <t>Unit Test: Users #28</t>
  </si>
  <si>
    <t>Selenge</t>
  </si>
  <si>
    <t>4,10</t>
  </si>
  <si>
    <t>1,1</t>
  </si>
  <si>
    <t>1,1,1</t>
  </si>
  <si>
    <t>1,1,2</t>
  </si>
  <si>
    <t>1,1,3</t>
  </si>
  <si>
    <t>1,1,4</t>
  </si>
  <si>
    <t>1,1,5</t>
  </si>
  <si>
    <t>1,2</t>
  </si>
  <si>
    <t>1,2,1</t>
  </si>
  <si>
    <t>1,2,2</t>
  </si>
  <si>
    <t>1,2,3</t>
  </si>
  <si>
    <t>1,2,4</t>
  </si>
  <si>
    <t>1,2,5</t>
  </si>
  <si>
    <t>1,3</t>
  </si>
  <si>
    <t>1,3,1</t>
  </si>
  <si>
    <t>1,3,2</t>
  </si>
  <si>
    <t>1,3,3</t>
  </si>
  <si>
    <t>1,3,4</t>
  </si>
  <si>
    <t>2,1</t>
  </si>
  <si>
    <t>2,2</t>
  </si>
  <si>
    <t>2,2,1</t>
  </si>
  <si>
    <t>2,2,2</t>
  </si>
  <si>
    <t>2,2,3</t>
  </si>
  <si>
    <t>2,2,4</t>
  </si>
  <si>
    <t>2,2,5</t>
  </si>
  <si>
    <t>2,2,6</t>
  </si>
  <si>
    <t>2,2,7</t>
  </si>
  <si>
    <t>2,2,8</t>
  </si>
  <si>
    <t>2,2,9</t>
  </si>
  <si>
    <t>2,3</t>
  </si>
  <si>
    <t>2,3,1</t>
  </si>
  <si>
    <t>2,3,2</t>
  </si>
  <si>
    <t>2,4</t>
  </si>
  <si>
    <t>2,4,1</t>
  </si>
  <si>
    <t>2,4,2</t>
  </si>
  <si>
    <t>2,4,3</t>
  </si>
  <si>
    <t>2,4,4</t>
  </si>
  <si>
    <t>2,5</t>
  </si>
  <si>
    <t>2,5,1</t>
  </si>
  <si>
    <t>2,5,2</t>
  </si>
  <si>
    <t>2,5,3</t>
  </si>
  <si>
    <t>2,5,4</t>
  </si>
  <si>
    <t>2,5,5</t>
  </si>
  <si>
    <t>2,5,6</t>
  </si>
  <si>
    <t>2,5,7</t>
  </si>
  <si>
    <t>2,6</t>
  </si>
  <si>
    <t>2,6,1</t>
  </si>
  <si>
    <t>2,6,2</t>
  </si>
  <si>
    <t>2,6,3</t>
  </si>
  <si>
    <t>2,6,4</t>
  </si>
  <si>
    <t>2,6,5</t>
  </si>
  <si>
    <t>3,1</t>
  </si>
  <si>
    <t>3,1,1</t>
  </si>
  <si>
    <t>3,1,2</t>
  </si>
  <si>
    <t>3,1,3</t>
  </si>
  <si>
    <t>3,1,4</t>
  </si>
  <si>
    <t>3,1,5</t>
  </si>
  <si>
    <t>3,2</t>
  </si>
  <si>
    <t>3,2,1</t>
  </si>
  <si>
    <t>3,2,2</t>
  </si>
  <si>
    <t>3,2,3</t>
  </si>
  <si>
    <t>3,2,4</t>
  </si>
  <si>
    <t>3,2,5</t>
  </si>
  <si>
    <t>4,1</t>
  </si>
  <si>
    <t>4,1,1</t>
  </si>
  <si>
    <t>4,1,2</t>
  </si>
  <si>
    <t>4,1,3</t>
  </si>
  <si>
    <t>4,2</t>
  </si>
  <si>
    <t>4,3</t>
  </si>
  <si>
    <t>4,4</t>
  </si>
  <si>
    <t>4,5</t>
  </si>
  <si>
    <t>4,6</t>
  </si>
  <si>
    <t>4,7</t>
  </si>
  <si>
    <t>4,8</t>
  </si>
  <si>
    <t>4,9</t>
  </si>
  <si>
    <t>4,11</t>
  </si>
  <si>
    <t>4,12</t>
  </si>
  <si>
    <t>4,13</t>
  </si>
  <si>
    <t>4,14</t>
  </si>
  <si>
    <t>4,15</t>
  </si>
  <si>
    <t>Convert Static Pages to Dynamic #30</t>
  </si>
  <si>
    <t>Implement a professional development workflow #29</t>
  </si>
  <si>
    <t>Security &amp; Secrets Management</t>
  </si>
  <si>
    <t>Code Quality &amp; Formatting</t>
  </si>
  <si>
    <t>Pre-commit Hooks</t>
  </si>
  <si>
    <t>CI Pipeline Integration</t>
  </si>
  <si>
    <t>Architecture &amp; Commit Standards</t>
  </si>
  <si>
    <t>4,10,1</t>
  </si>
  <si>
    <t>4,10,2</t>
  </si>
  <si>
    <t>4,10,3</t>
  </si>
  <si>
    <t>Unit test : Resource delivery #31</t>
  </si>
  <si>
    <t>Unit test: Localization #32</t>
  </si>
  <si>
    <t>Unit test: Feedback #33</t>
  </si>
  <si>
    <t>Send program resources via email upon request to the chatbot #35</t>
  </si>
  <si>
    <t>Create logic so that the student can navigate the chatbot to the email delivery option</t>
  </si>
  <si>
    <t>Create email delivery logic on the Console Backend SMTP as a first test</t>
  </si>
  <si>
    <t>Replace the console backend information with a SMTP mailbox sandbox service (ethereal.emai)</t>
  </si>
  <si>
    <t>Ensure that no secret keys are exposed</t>
  </si>
  <si>
    <t>4,15,1</t>
  </si>
  <si>
    <t>4,15,2</t>
  </si>
  <si>
    <t>4,15,3</t>
  </si>
  <si>
    <t>4,15,4</t>
  </si>
  <si>
    <t>4,1,4</t>
  </si>
  <si>
    <t>4,1,5</t>
  </si>
  <si>
    <t>4,1,6</t>
  </si>
  <si>
    <t>4,4,1</t>
  </si>
  <si>
    <t>4,4,2</t>
  </si>
  <si>
    <t>4,4,3</t>
  </si>
  <si>
    <t>4,9,1</t>
  </si>
  <si>
    <t>4,9,2</t>
  </si>
  <si>
    <t>4,9,3</t>
  </si>
  <si>
    <t>4,9,4</t>
  </si>
  <si>
    <t>4,9,5</t>
  </si>
  <si>
    <t>4,11,1</t>
  </si>
  <si>
    <t>4,11,2</t>
  </si>
  <si>
    <t>4,11,3</t>
  </si>
  <si>
    <t>4,11,4</t>
  </si>
  <si>
    <t>4,11,5</t>
  </si>
  <si>
    <t>4,11,6</t>
  </si>
  <si>
    <t>PERCENTAGE COMPLETED</t>
  </si>
  <si>
    <t>%</t>
  </si>
  <si>
    <t>BASE LINE</t>
  </si>
  <si>
    <t>REAL</t>
  </si>
  <si>
    <t>DAY</t>
  </si>
  <si>
    <t>TASK BL</t>
  </si>
  <si>
    <t>TASK REAL</t>
  </si>
  <si>
    <t>REAL GRAF</t>
  </si>
  <si>
    <t>Base Line</t>
  </si>
  <si>
    <t>Real</t>
  </si>
  <si>
    <t>Completed %</t>
  </si>
  <si>
    <t>S</t>
  </si>
  <si>
    <t>STORY POINTS</t>
  </si>
  <si>
    <t>DAILY TASK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</si>
</sst>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5" x14ac:knownFonts="1">
    <font>
      <sz val="11"/>
      <color theme="1" tint="0.24994659260841701"/>
      <name val="Corbel"/>
      <family val="2"/>
      <scheme val="major"/>
    </font>
    <font>
      <sz val="14"/>
      <color theme="1" tint="0.24994659260841701"/>
      <name val="Calibri"/>
      <family val="2"/>
      <scheme val="minor"/>
    </font>
    <font>
      <b/>
      <sz val="13"/>
      <color theme="1" tint="0.24994659260841701"/>
      <name val="Corbel"/>
      <family val="2"/>
      <scheme val="major"/>
    </font>
    <font>
      <b/>
      <sz val="13"/>
      <color theme="7"/>
      <name val="Corbel"/>
      <family val="2"/>
      <scheme val="major"/>
    </font>
    <font>
      <b/>
      <sz val="13"/>
      <color theme="1" tint="0.24994659260841701"/>
      <name val="Calibri"/>
      <family val="2"/>
    </font>
    <font>
      <sz val="12"/>
      <color theme="1" tint="0.24994659260841701"/>
      <name val="Calibri"/>
      <family val="2"/>
    </font>
    <font>
      <b/>
      <sz val="13"/>
      <color theme="7"/>
      <name val="Calibri"/>
      <family val="2"/>
    </font>
    <font>
      <b/>
      <sz val="42"/>
      <color theme="7"/>
      <name val="Corbel"/>
      <family val="2"/>
      <scheme val="major"/>
    </font>
    <font>
      <b/>
      <sz val="11"/>
      <color theme="1" tint="0.2499465926084170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1"/>
      <color theme="1" tint="0.24994659260841701"/>
      <name val="Corbel"/>
      <family val="2"/>
      <scheme val="major"/>
    </font>
    <font>
      <i/>
      <sz val="11"/>
      <color theme="7"/>
      <name val="Calibri"/>
      <family val="2"/>
      <scheme val="minor"/>
    </font>
    <font>
      <sz val="12"/>
      <color theme="1" tint="0.24994659260841701"/>
      <name val="Corbel"/>
      <family val="2"/>
      <scheme val="major"/>
    </font>
    <font>
      <sz val="11"/>
      <color rgb="FF000000"/>
      <name val="Arial"/>
      <family val="2"/>
    </font>
    <font>
      <sz val="10"/>
      <name val="Arial"/>
      <family val="2"/>
    </font>
    <font>
      <b/>
      <sz val="8"/>
      <color theme="1" tint="0.34998626667073579"/>
      <name val="Calibri"/>
      <family val="2"/>
      <scheme val="minor"/>
    </font>
    <font>
      <b/>
      <sz val="10"/>
      <color theme="1" tint="0.34998626667073579"/>
      <name val="Calibri"/>
      <family val="2"/>
      <scheme val="minor"/>
    </font>
    <font>
      <sz val="13"/>
      <color theme="1" tint="0.24994659260841701"/>
      <name val="Calibri"/>
      <family val="2"/>
    </font>
    <font>
      <sz val="8"/>
      <name val="Corbel"/>
      <family val="2"/>
      <scheme val="major"/>
    </font>
    <font>
      <b/>
      <sz val="9"/>
      <color theme="1" tint="0.34998626667073579"/>
      <name val="Arial"/>
      <family val="2"/>
    </font>
    <font>
      <b/>
      <sz val="9"/>
      <color theme="1" tint="0.24994659260841701"/>
      <name val="Arial"/>
      <family val="2"/>
    </font>
    <font>
      <sz val="9"/>
      <color theme="1" tint="0.24994659260841701"/>
      <name val="Arial"/>
      <family val="2"/>
    </font>
    <font>
      <b/>
      <sz val="9"/>
      <color theme="7"/>
      <name val="Arial"/>
      <family val="2"/>
    </font>
    <font>
      <b/>
      <sz val="11"/>
      <color theme="1" tint="0.24994659260841701"/>
      <name val="Arial"/>
      <family val="2"/>
    </font>
    <font>
      <sz val="11"/>
      <color theme="1" tint="0.24994659260841701"/>
      <name val="Arial"/>
      <family val="2"/>
    </font>
  </fonts>
  <fills count="9">
    <fill>
      <patternFill patternType="none"/>
    </fill>
    <fill>
      <patternFill patternType="gray125"/>
    </fill>
    <fill>
      <patternFill patternType="lightUp">
        <fgColor theme="7"/>
      </patternFill>
    </fill>
    <fill>
      <patternFill patternType="lightUp">
        <fgColor theme="7"/>
        <bgColor theme="7" tint="0.59996337778862885"/>
      </patternFill>
    </fill>
    <fill>
      <patternFill patternType="solid">
        <fgColor theme="7"/>
        <bgColor auto="1"/>
      </patternFill>
    </fill>
    <fill>
      <patternFill patternType="lightUp">
        <fgColor theme="7"/>
        <bgColor theme="9" tint="0.59996337778862885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/>
      <bottom style="thin">
        <color theme="7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/>
      <right/>
      <top style="thin">
        <color theme="9" tint="-0.24994659260841701"/>
      </top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</borders>
  <cellStyleXfs count="23">
    <xf numFmtId="0" fontId="0" fillId="0" borderId="0" applyNumberFormat="0" applyFill="0" applyBorder="0" applyProtection="0">
      <alignment horizontal="center" vertical="center"/>
    </xf>
    <xf numFmtId="0" fontId="7" fillId="0" borderId="0" applyNumberFormat="0" applyFill="0" applyBorder="0" applyAlignment="0" applyProtection="0"/>
    <xf numFmtId="0" fontId="2" fillId="0" borderId="0" applyFill="0" applyBorder="0" applyProtection="0">
      <alignment horizontal="left" wrapText="1"/>
    </xf>
    <xf numFmtId="3" fontId="9" fillId="0" borderId="2" applyFill="0" applyProtection="0">
      <alignment horizontal="center"/>
    </xf>
    <xf numFmtId="0" fontId="9" fillId="0" borderId="0" applyFill="0" applyBorder="0" applyProtection="0">
      <alignment horizontal="center" wrapText="1"/>
    </xf>
    <xf numFmtId="0" fontId="1" fillId="0" borderId="0" applyNumberFormat="0" applyFill="0" applyBorder="0" applyProtection="0">
      <alignment horizontal="left" vertical="center"/>
    </xf>
    <xf numFmtId="9" fontId="3" fillId="0" borderId="0" applyFill="0" applyBorder="0" applyProtection="0">
      <alignment horizontal="center" vertical="center"/>
    </xf>
    <xf numFmtId="0" fontId="8" fillId="6" borderId="1" applyNumberFormat="0" applyProtection="0">
      <alignment horizontal="left" vertical="center"/>
    </xf>
    <xf numFmtId="0" fontId="7" fillId="0" borderId="0" applyNumberFormat="0" applyFill="0" applyBorder="0" applyProtection="0">
      <alignment vertical="center"/>
    </xf>
    <xf numFmtId="0" fontId="9" fillId="0" borderId="0" applyFill="0" applyProtection="0">
      <alignment vertical="center"/>
    </xf>
    <xf numFmtId="0" fontId="9" fillId="0" borderId="0" applyFill="0" applyProtection="0">
      <alignment horizontal="center" vertical="center" wrapText="1"/>
    </xf>
    <xf numFmtId="0" fontId="9" fillId="0" borderId="0" applyFill="0" applyProtection="0">
      <alignment horizontal="left"/>
    </xf>
    <xf numFmtId="0" fontId="11" fillId="0" borderId="0" applyNumberFormat="0" applyFill="0" applyBorder="0" applyProtection="0">
      <alignment vertical="center"/>
    </xf>
    <xf numFmtId="1" fontId="12" fillId="6" borderId="1">
      <alignment horizontal="center" vertical="center"/>
    </xf>
    <xf numFmtId="0" fontId="10" fillId="2" borderId="4" applyNumberFormat="0" applyFont="0" applyAlignment="0">
      <alignment horizontal="center"/>
    </xf>
    <xf numFmtId="0" fontId="10" fillId="3" borderId="3" applyNumberFormat="0" applyFont="0" applyAlignment="0">
      <alignment horizontal="center"/>
    </xf>
    <xf numFmtId="0" fontId="10" fillId="4" borderId="3" applyNumberFormat="0" applyFont="0" applyAlignment="0">
      <alignment horizontal="center"/>
    </xf>
    <xf numFmtId="0" fontId="10" fillId="5" borderId="3" applyNumberFormat="0" applyFont="0" applyAlignment="0">
      <alignment horizontal="center"/>
    </xf>
    <xf numFmtId="0" fontId="10" fillId="7" borderId="3" applyNumberFormat="0" applyFont="0" applyAlignment="0">
      <alignment horizontal="center"/>
    </xf>
    <xf numFmtId="0" fontId="13" fillId="0" borderId="0"/>
    <xf numFmtId="0" fontId="13" fillId="0" borderId="0"/>
    <xf numFmtId="0" fontId="14" fillId="0" borderId="0"/>
    <xf numFmtId="9" fontId="10" fillId="0" borderId="0" applyFont="0" applyFill="0" applyBorder="0" applyAlignment="0" applyProtection="0"/>
  </cellStyleXfs>
  <cellXfs count="62">
    <xf numFmtId="0" fontId="0" fillId="0" borderId="0" xfId="0">
      <alignment horizontal="center" vertical="center"/>
    </xf>
    <xf numFmtId="0" fontId="0" fillId="0" borderId="0" xfId="0" applyAlignment="1">
      <alignment horizontal="center"/>
    </xf>
    <xf numFmtId="0" fontId="2" fillId="0" borderId="0" xfId="2">
      <alignment horizontal="left" wrapText="1"/>
    </xf>
    <xf numFmtId="3" fontId="9" fillId="0" borderId="2" xfId="3">
      <alignment horizontal="center"/>
    </xf>
    <xf numFmtId="9" fontId="3" fillId="0" borderId="0" xfId="6">
      <alignment horizontal="center" vertical="center"/>
    </xf>
    <xf numFmtId="0" fontId="8" fillId="6" borderId="1" xfId="7">
      <alignment horizontal="left" vertical="center"/>
    </xf>
    <xf numFmtId="0" fontId="4" fillId="0" borderId="0" xfId="2" applyFont="1">
      <alignment horizontal="left" wrapText="1"/>
    </xf>
    <xf numFmtId="0" fontId="5" fillId="0" borderId="0" xfId="0" applyFont="1" applyAlignment="1">
      <alignment horizontal="center"/>
    </xf>
    <xf numFmtId="9" fontId="6" fillId="0" borderId="0" xfId="6" applyFont="1">
      <alignment horizontal="center" vertical="center"/>
    </xf>
    <xf numFmtId="0" fontId="0" fillId="0" borderId="0" xfId="0" applyAlignment="1">
      <alignment vertical="center" wrapText="1"/>
    </xf>
    <xf numFmtId="1" fontId="12" fillId="6" borderId="1" xfId="13">
      <alignment horizontal="center" vertical="center"/>
    </xf>
    <xf numFmtId="0" fontId="0" fillId="2" borderId="4" xfId="14" applyFont="1" applyAlignment="1">
      <alignment horizontal="center"/>
    </xf>
    <xf numFmtId="0" fontId="0" fillId="3" borderId="3" xfId="15" applyFont="1" applyAlignment="1">
      <alignment horizontal="center"/>
    </xf>
    <xf numFmtId="0" fontId="0" fillId="4" borderId="3" xfId="16" applyFont="1" applyAlignment="1">
      <alignment horizontal="center"/>
    </xf>
    <xf numFmtId="0" fontId="0" fillId="5" borderId="3" xfId="17" applyFont="1" applyAlignment="1">
      <alignment horizontal="center"/>
    </xf>
    <xf numFmtId="0" fontId="0" fillId="7" borderId="3" xfId="18" applyFont="1" applyAlignment="1">
      <alignment horizontal="center"/>
    </xf>
    <xf numFmtId="0" fontId="11" fillId="0" borderId="0" xfId="12">
      <alignment vertical="center"/>
    </xf>
    <xf numFmtId="0" fontId="0" fillId="0" borderId="0" xfId="5" applyFont="1" applyBorder="1" applyAlignment="1">
      <alignment vertical="center"/>
    </xf>
    <xf numFmtId="0" fontId="9" fillId="0" borderId="0" xfId="9">
      <alignment vertical="center"/>
    </xf>
    <xf numFmtId="0" fontId="9" fillId="0" borderId="2" xfId="9" applyBorder="1">
      <alignment vertical="center"/>
    </xf>
    <xf numFmtId="16" fontId="15" fillId="0" borderId="0" xfId="4" applyNumberFormat="1" applyFont="1">
      <alignment horizontal="center" wrapText="1"/>
    </xf>
    <xf numFmtId="16" fontId="16" fillId="0" borderId="0" xfId="11" applyNumberFormat="1" applyFont="1" applyAlignment="1">
      <alignment horizontal="left" textRotation="90"/>
    </xf>
    <xf numFmtId="0" fontId="17" fillId="0" borderId="0" xfId="2" applyFont="1">
      <alignment horizontal="left" wrapText="1"/>
    </xf>
    <xf numFmtId="0" fontId="11" fillId="0" borderId="0" xfId="12" applyAlignment="1">
      <alignment horizontal="center" vertical="center"/>
    </xf>
    <xf numFmtId="0" fontId="9" fillId="0" borderId="0" xfId="9" applyAlignment="1">
      <alignment horizontal="center" vertical="center"/>
    </xf>
    <xf numFmtId="0" fontId="9" fillId="0" borderId="2" xfId="9" applyBorder="1" applyAlignment="1">
      <alignment horizontal="center" vertical="center"/>
    </xf>
    <xf numFmtId="0" fontId="4" fillId="0" borderId="0" xfId="2" applyFont="1" applyAlignment="1">
      <alignment horizontal="center" wrapText="1"/>
    </xf>
    <xf numFmtId="0" fontId="17" fillId="0" borderId="0" xfId="2" applyFont="1" applyAlignment="1">
      <alignment horizontal="center" wrapText="1"/>
    </xf>
    <xf numFmtId="0" fontId="2" fillId="0" borderId="0" xfId="2" applyAlignment="1">
      <alignment horizontal="center" wrapText="1"/>
    </xf>
    <xf numFmtId="0" fontId="9" fillId="0" borderId="0" xfId="10">
      <alignment horizontal="center" vertical="center" wrapText="1"/>
    </xf>
    <xf numFmtId="0" fontId="19" fillId="0" borderId="0" xfId="9" applyFont="1" applyAlignment="1">
      <alignment horizontal="center" vertical="center"/>
    </xf>
    <xf numFmtId="0" fontId="19" fillId="0" borderId="0" xfId="9" applyFont="1">
      <alignment vertical="center"/>
    </xf>
    <xf numFmtId="0" fontId="20" fillId="0" borderId="0" xfId="0" applyFont="1">
      <alignment horizontal="center" vertical="center"/>
    </xf>
    <xf numFmtId="0" fontId="20" fillId="0" borderId="0" xfId="2" applyFont="1">
      <alignment horizontal="left" wrapText="1"/>
    </xf>
    <xf numFmtId="0" fontId="20" fillId="0" borderId="0" xfId="2" applyFont="1" applyAlignment="1">
      <alignment horizontal="center" wrapText="1"/>
    </xf>
    <xf numFmtId="0" fontId="21" fillId="0" borderId="0" xfId="0" applyFont="1" applyAlignment="1">
      <alignment horizontal="center"/>
    </xf>
    <xf numFmtId="9" fontId="22" fillId="0" borderId="0" xfId="6" applyFont="1">
      <alignment horizontal="center" vertical="center"/>
    </xf>
    <xf numFmtId="0" fontId="21" fillId="0" borderId="0" xfId="0" applyFont="1">
      <alignment horizontal="center" vertical="center"/>
    </xf>
    <xf numFmtId="0" fontId="21" fillId="0" borderId="0" xfId="2" applyFont="1" applyAlignment="1">
      <alignment horizontal="center" wrapText="1"/>
    </xf>
    <xf numFmtId="0" fontId="21" fillId="0" borderId="0" xfId="0" quotePrefix="1" applyFont="1" applyAlignment="1">
      <alignment horizontal="center"/>
    </xf>
    <xf numFmtId="0" fontId="21" fillId="0" borderId="0" xfId="0" applyFont="1" applyAlignment="1">
      <alignment horizontal="center" vertical="top"/>
    </xf>
    <xf numFmtId="0" fontId="20" fillId="0" borderId="0" xfId="2" applyFont="1" applyAlignment="1">
      <alignment horizontal="left" vertical="top" wrapText="1"/>
    </xf>
    <xf numFmtId="0" fontId="21" fillId="0" borderId="0" xfId="2" applyFont="1" applyAlignment="1">
      <alignment horizontal="left" vertical="top" wrapText="1"/>
    </xf>
    <xf numFmtId="0" fontId="19" fillId="0" borderId="0" xfId="9" applyFont="1" applyAlignment="1">
      <alignment vertical="top"/>
    </xf>
    <xf numFmtId="0" fontId="19" fillId="0" borderId="0" xfId="10" applyFont="1">
      <alignment horizontal="center" vertical="center" wrapText="1"/>
    </xf>
    <xf numFmtId="0" fontId="19" fillId="0" borderId="5" xfId="10" applyFont="1" applyBorder="1">
      <alignment horizontal="center" vertical="center" wrapText="1"/>
    </xf>
    <xf numFmtId="0" fontId="23" fillId="0" borderId="0" xfId="0" applyFont="1">
      <alignment horizontal="center" vertical="center"/>
    </xf>
    <xf numFmtId="0" fontId="24" fillId="0" borderId="0" xfId="0" applyFont="1">
      <alignment horizontal="center" vertical="center"/>
    </xf>
    <xf numFmtId="0" fontId="21" fillId="8" borderId="0" xfId="0" applyFont="1" applyFill="1">
      <alignment horizontal="center" vertical="center"/>
    </xf>
    <xf numFmtId="9" fontId="24" fillId="0" borderId="0" xfId="22" applyFont="1" applyAlignment="1">
      <alignment horizontal="center" vertical="center"/>
    </xf>
    <xf numFmtId="0" fontId="9" fillId="0" borderId="0" xfId="10">
      <alignment horizontal="center" vertical="center" wrapText="1"/>
    </xf>
    <xf numFmtId="0" fontId="9" fillId="0" borderId="2" xfId="10" applyBorder="1">
      <alignment horizontal="center" vertical="center" wrapText="1"/>
    </xf>
    <xf numFmtId="0" fontId="9" fillId="0" borderId="0" xfId="9">
      <alignment vertical="center"/>
    </xf>
    <xf numFmtId="0" fontId="9" fillId="0" borderId="2" xfId="9" applyBorder="1">
      <alignment vertical="center"/>
    </xf>
    <xf numFmtId="0" fontId="7" fillId="0" borderId="0" xfId="8" applyAlignment="1">
      <alignment horizontal="center" vertical="center" wrapText="1"/>
    </xf>
    <xf numFmtId="0" fontId="0" fillId="0" borderId="6" xfId="5" applyFont="1" applyBorder="1">
      <alignment horizontal="left" vertical="center"/>
    </xf>
    <xf numFmtId="0" fontId="0" fillId="0" borderId="0" xfId="5" applyFont="1" applyBorder="1">
      <alignment horizontal="left" vertical="center"/>
    </xf>
    <xf numFmtId="0" fontId="9" fillId="0" borderId="5" xfId="10" applyBorder="1">
      <alignment horizontal="center" vertical="center" wrapText="1"/>
    </xf>
    <xf numFmtId="0" fontId="5" fillId="0" borderId="6" xfId="5" applyFont="1" applyBorder="1">
      <alignment horizontal="left" vertical="center"/>
    </xf>
    <xf numFmtId="0" fontId="5" fillId="0" borderId="0" xfId="5" applyFont="1">
      <alignment horizontal="left" vertical="center"/>
    </xf>
    <xf numFmtId="0" fontId="5" fillId="0" borderId="7" xfId="5" applyFont="1" applyBorder="1">
      <alignment horizontal="left" vertical="center"/>
    </xf>
    <xf numFmtId="0" fontId="5" fillId="0" borderId="0" xfId="5" applyFont="1" applyBorder="1">
      <alignment horizontal="left" vertical="center"/>
    </xf>
  </cellXfs>
  <cellStyles count="23">
    <cellStyle name="% completado" xfId="16" xr:uid="{00000000-0005-0000-0000-000000000000}"/>
    <cellStyle name="Actividad" xfId="2" xr:uid="{00000000-0005-0000-0000-000002000000}"/>
    <cellStyle name="Control del periodo resaltado" xfId="7" xr:uid="{00000000-0005-0000-0000-00000E000000}"/>
    <cellStyle name="Encabezados de los periodos" xfId="3" xr:uid="{00000000-0005-0000-0000-00000D000000}"/>
    <cellStyle name="Encabezados del proyecto" xfId="4" xr:uid="{00000000-0005-0000-0000-000011000000}"/>
    <cellStyle name="Etiqueta" xfId="5" xr:uid="{00000000-0005-0000-0000-00000A000000}"/>
    <cellStyle name="Explanatory Text" xfId="12" builtinId="53" customBuiltin="1"/>
    <cellStyle name="Heading 1" xfId="1" builtinId="16" customBuiltin="1"/>
    <cellStyle name="Heading 2" xfId="9" builtinId="17" customBuiltin="1"/>
    <cellStyle name="Heading 3" xfId="10" builtinId="18" customBuiltin="1"/>
    <cellStyle name="Heading 4" xfId="11" builtinId="19" customBuiltin="1"/>
    <cellStyle name="Leyenda de la duración real" xfId="15" xr:uid="{00000000-0005-0000-0000-000004000000}"/>
    <cellStyle name="Leyenda de la duración real (fuera del plan)" xfId="17" xr:uid="{00000000-0005-0000-0000-000003000000}"/>
    <cellStyle name="Leyenda del % completado (fuera del plan)" xfId="18" xr:uid="{00000000-0005-0000-0000-000001000000}"/>
    <cellStyle name="Leyenda del plan" xfId="14" xr:uid="{00000000-0005-0000-0000-000010000000}"/>
    <cellStyle name="Normal" xfId="0" builtinId="0" customBuiltin="1"/>
    <cellStyle name="Normal 2" xfId="20" xr:uid="{BF02181E-A1E5-42F1-884D-4B6E0356183A}"/>
    <cellStyle name="Normal 2 2" xfId="21" xr:uid="{1804AEE0-CA62-4E8F-9BEE-8646283F319B}"/>
    <cellStyle name="Normal 3" xfId="19" xr:uid="{A8E1F305-693A-4CAB-A4C0-F2C8BFDCC892}"/>
    <cellStyle name="Percent" xfId="22" builtinId="5"/>
    <cellStyle name="Porcentaje completado" xfId="6" xr:uid="{00000000-0005-0000-0000-00000C000000}"/>
    <cellStyle name="Title" xfId="8" builtinId="15" customBuiltin="1"/>
    <cellStyle name="Valor del periodo" xfId="13" xr:uid="{00000000-0005-0000-0000-00000F000000}"/>
  </cellStyles>
  <dxfs count="13"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border>
        <top style="thin">
          <color theme="7"/>
        </top>
        <vertical/>
        <horizontal/>
      </border>
    </dxf>
  </dxfs>
  <tableStyles count="1" defaultTableStyle="TableStyleMedium2" defaultPivotStyle="PivotStyleLight16">
    <tableStyle name="Invisible" pivot="0" table="0" count="0" xr9:uid="{DC6A820E-D899-4192-8222-41AD343DFD1A}"/>
  </tableStyles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Relationship Id="rId14" Type="http://schemas.openxmlformats.org/officeDocument/2006/relationships/customXml" Target="../customXml/item4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b="1"/>
              <a:t>Burndown</a:t>
            </a:r>
            <a:r>
              <a:rPr lang="en-CA" b="1" baseline="0"/>
              <a:t> Chart</a:t>
            </a:r>
            <a:endParaRPr lang="en-CA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A"/>
        </a:p>
      </c:txPr>
    </c:title>
    <c:autoTitleDeleted val="0"/>
    <c:plotArea>
      <c:layout/>
      <c:barChart>
        <c:barDir val="col"/>
        <c:grouping val="clustered"/>
        <c:varyColors val="0"/>
        <c:ser>
          <c:idx val="3"/>
          <c:order val="3"/>
          <c:tx>
            <c:v>Daily Task Completed</c:v>
          </c:tx>
          <c:spPr>
            <a:solidFill>
              <a:schemeClr val="accent5">
                <a:lumMod val="60000"/>
                <a:lumOff val="40000"/>
              </a:schemeClr>
            </a:solidFill>
            <a:ln w="15875">
              <a:solidFill>
                <a:schemeClr val="accent1"/>
              </a:solidFill>
            </a:ln>
            <a:effectLst/>
          </c:spPr>
          <c:invertIfNegative val="0"/>
          <c:val>
            <c:numRef>
              <c:f>Burndown!$D$2:$D$86</c:f>
              <c:numCache>
                <c:formatCode>General</c:formatCode>
                <c:ptCount val="8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0</c:v>
                </c:pt>
                <c:pt idx="13">
                  <c:v>4</c:v>
                </c:pt>
                <c:pt idx="14">
                  <c:v>2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1</c:v>
                </c:pt>
                <c:pt idx="28">
                  <c:v>3</c:v>
                </c:pt>
                <c:pt idx="29">
                  <c:v>0</c:v>
                </c:pt>
                <c:pt idx="30">
                  <c:v>2</c:v>
                </c:pt>
                <c:pt idx="31">
                  <c:v>0</c:v>
                </c:pt>
                <c:pt idx="32">
                  <c:v>1</c:v>
                </c:pt>
                <c:pt idx="33">
                  <c:v>3</c:v>
                </c:pt>
                <c:pt idx="34">
                  <c:v>0</c:v>
                </c:pt>
                <c:pt idx="35">
                  <c:v>1</c:v>
                </c:pt>
                <c:pt idx="36">
                  <c:v>2</c:v>
                </c:pt>
                <c:pt idx="37">
                  <c:v>4</c:v>
                </c:pt>
                <c:pt idx="38">
                  <c:v>2</c:v>
                </c:pt>
                <c:pt idx="39">
                  <c:v>8</c:v>
                </c:pt>
                <c:pt idx="40">
                  <c:v>1</c:v>
                </c:pt>
                <c:pt idx="41">
                  <c:v>1</c:v>
                </c:pt>
                <c:pt idx="42">
                  <c:v>9</c:v>
                </c:pt>
                <c:pt idx="43">
                  <c:v>0</c:v>
                </c:pt>
                <c:pt idx="44">
                  <c:v>1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1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1</c:v>
                </c:pt>
                <c:pt idx="57">
                  <c:v>0</c:v>
                </c:pt>
                <c:pt idx="58">
                  <c:v>0</c:v>
                </c:pt>
                <c:pt idx="59">
                  <c:v>2</c:v>
                </c:pt>
                <c:pt idx="60">
                  <c:v>2</c:v>
                </c:pt>
                <c:pt idx="61">
                  <c:v>3</c:v>
                </c:pt>
                <c:pt idx="62">
                  <c:v>6</c:v>
                </c:pt>
                <c:pt idx="63">
                  <c:v>1</c:v>
                </c:pt>
                <c:pt idx="64">
                  <c:v>2</c:v>
                </c:pt>
                <c:pt idx="65">
                  <c:v>1</c:v>
                </c:pt>
                <c:pt idx="66">
                  <c:v>2</c:v>
                </c:pt>
                <c:pt idx="67">
                  <c:v>2</c:v>
                </c:pt>
                <c:pt idx="68">
                  <c:v>1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1</c:v>
                </c:pt>
                <c:pt idx="73">
                  <c:v>2</c:v>
                </c:pt>
                <c:pt idx="74">
                  <c:v>1</c:v>
                </c:pt>
                <c:pt idx="75">
                  <c:v>2</c:v>
                </c:pt>
                <c:pt idx="76">
                  <c:v>3</c:v>
                </c:pt>
                <c:pt idx="77">
                  <c:v>2</c:v>
                </c:pt>
                <c:pt idx="78">
                  <c:v>2</c:v>
                </c:pt>
                <c:pt idx="79">
                  <c:v>0</c:v>
                </c:pt>
                <c:pt idx="80">
                  <c:v>1</c:v>
                </c:pt>
                <c:pt idx="81">
                  <c:v>1</c:v>
                </c:pt>
                <c:pt idx="82">
                  <c:v>2</c:v>
                </c:pt>
                <c:pt idx="83">
                  <c:v>1</c:v>
                </c:pt>
                <c:pt idx="8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6A-4542-96C6-CEAA84B656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87381055"/>
        <c:axId val="987382495"/>
      </c:barChart>
      <c:lineChart>
        <c:grouping val="standard"/>
        <c:varyColors val="0"/>
        <c:ser>
          <c:idx val="0"/>
          <c:order val="0"/>
          <c:tx>
            <c:strRef>
              <c:f>Burndown!$E$1</c:f>
              <c:strCache>
                <c:ptCount val="1"/>
                <c:pt idx="0">
                  <c:v>Base Line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val>
            <c:numRef>
              <c:f>Burndown!$E$2:$E$86</c:f>
              <c:numCache>
                <c:formatCode>General</c:formatCode>
                <c:ptCount val="85"/>
                <c:pt idx="0">
                  <c:v>101</c:v>
                </c:pt>
                <c:pt idx="1">
                  <c:v>101</c:v>
                </c:pt>
                <c:pt idx="2">
                  <c:v>101</c:v>
                </c:pt>
                <c:pt idx="3">
                  <c:v>101</c:v>
                </c:pt>
                <c:pt idx="4">
                  <c:v>101</c:v>
                </c:pt>
                <c:pt idx="5">
                  <c:v>101</c:v>
                </c:pt>
                <c:pt idx="6">
                  <c:v>101</c:v>
                </c:pt>
                <c:pt idx="7">
                  <c:v>101</c:v>
                </c:pt>
                <c:pt idx="8">
                  <c:v>101</c:v>
                </c:pt>
                <c:pt idx="9">
                  <c:v>101</c:v>
                </c:pt>
                <c:pt idx="10">
                  <c:v>96</c:v>
                </c:pt>
                <c:pt idx="11">
                  <c:v>95</c:v>
                </c:pt>
                <c:pt idx="12">
                  <c:v>95</c:v>
                </c:pt>
                <c:pt idx="13">
                  <c:v>88</c:v>
                </c:pt>
                <c:pt idx="14">
                  <c:v>86</c:v>
                </c:pt>
                <c:pt idx="15">
                  <c:v>86</c:v>
                </c:pt>
                <c:pt idx="16">
                  <c:v>86</c:v>
                </c:pt>
                <c:pt idx="17">
                  <c:v>86</c:v>
                </c:pt>
                <c:pt idx="18">
                  <c:v>86</c:v>
                </c:pt>
                <c:pt idx="19">
                  <c:v>86</c:v>
                </c:pt>
                <c:pt idx="20">
                  <c:v>86</c:v>
                </c:pt>
                <c:pt idx="21">
                  <c:v>86</c:v>
                </c:pt>
                <c:pt idx="22">
                  <c:v>86</c:v>
                </c:pt>
                <c:pt idx="23">
                  <c:v>85</c:v>
                </c:pt>
                <c:pt idx="24">
                  <c:v>85</c:v>
                </c:pt>
                <c:pt idx="25">
                  <c:v>85</c:v>
                </c:pt>
                <c:pt idx="26">
                  <c:v>84</c:v>
                </c:pt>
                <c:pt idx="27">
                  <c:v>83</c:v>
                </c:pt>
                <c:pt idx="28">
                  <c:v>81</c:v>
                </c:pt>
                <c:pt idx="29">
                  <c:v>80</c:v>
                </c:pt>
                <c:pt idx="30">
                  <c:v>79</c:v>
                </c:pt>
                <c:pt idx="31">
                  <c:v>76</c:v>
                </c:pt>
                <c:pt idx="32">
                  <c:v>73</c:v>
                </c:pt>
                <c:pt idx="33">
                  <c:v>72</c:v>
                </c:pt>
                <c:pt idx="34">
                  <c:v>70</c:v>
                </c:pt>
                <c:pt idx="35">
                  <c:v>69</c:v>
                </c:pt>
                <c:pt idx="36">
                  <c:v>67</c:v>
                </c:pt>
                <c:pt idx="37">
                  <c:v>65</c:v>
                </c:pt>
                <c:pt idx="38">
                  <c:v>63</c:v>
                </c:pt>
                <c:pt idx="39">
                  <c:v>54</c:v>
                </c:pt>
                <c:pt idx="40">
                  <c:v>52</c:v>
                </c:pt>
                <c:pt idx="41">
                  <c:v>51</c:v>
                </c:pt>
                <c:pt idx="42">
                  <c:v>45</c:v>
                </c:pt>
                <c:pt idx="43">
                  <c:v>44</c:v>
                </c:pt>
                <c:pt idx="44">
                  <c:v>43</c:v>
                </c:pt>
                <c:pt idx="45">
                  <c:v>40</c:v>
                </c:pt>
                <c:pt idx="46">
                  <c:v>38</c:v>
                </c:pt>
                <c:pt idx="47">
                  <c:v>38</c:v>
                </c:pt>
                <c:pt idx="48">
                  <c:v>37</c:v>
                </c:pt>
                <c:pt idx="49">
                  <c:v>37</c:v>
                </c:pt>
                <c:pt idx="50">
                  <c:v>37</c:v>
                </c:pt>
                <c:pt idx="51">
                  <c:v>37</c:v>
                </c:pt>
                <c:pt idx="52">
                  <c:v>37</c:v>
                </c:pt>
                <c:pt idx="53">
                  <c:v>37</c:v>
                </c:pt>
                <c:pt idx="54">
                  <c:v>37</c:v>
                </c:pt>
                <c:pt idx="55">
                  <c:v>37</c:v>
                </c:pt>
                <c:pt idx="56">
                  <c:v>37</c:v>
                </c:pt>
                <c:pt idx="57">
                  <c:v>37</c:v>
                </c:pt>
                <c:pt idx="58">
                  <c:v>35</c:v>
                </c:pt>
                <c:pt idx="59">
                  <c:v>31</c:v>
                </c:pt>
                <c:pt idx="60">
                  <c:v>29</c:v>
                </c:pt>
                <c:pt idx="61">
                  <c:v>27</c:v>
                </c:pt>
                <c:pt idx="62">
                  <c:v>24</c:v>
                </c:pt>
                <c:pt idx="63">
                  <c:v>22</c:v>
                </c:pt>
                <c:pt idx="64">
                  <c:v>20</c:v>
                </c:pt>
                <c:pt idx="65">
                  <c:v>19</c:v>
                </c:pt>
                <c:pt idx="66">
                  <c:v>16</c:v>
                </c:pt>
                <c:pt idx="67">
                  <c:v>12</c:v>
                </c:pt>
                <c:pt idx="68">
                  <c:v>10</c:v>
                </c:pt>
                <c:pt idx="69">
                  <c:v>7</c:v>
                </c:pt>
                <c:pt idx="70">
                  <c:v>5</c:v>
                </c:pt>
                <c:pt idx="71">
                  <c:v>5</c:v>
                </c:pt>
                <c:pt idx="72">
                  <c:v>4</c:v>
                </c:pt>
                <c:pt idx="73">
                  <c:v>4</c:v>
                </c:pt>
                <c:pt idx="74">
                  <c:v>4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AB-4420-AC8D-16A204A68BAE}"/>
            </c:ext>
          </c:extLst>
        </c:ser>
        <c:ser>
          <c:idx val="1"/>
          <c:order val="1"/>
          <c:tx>
            <c:strRef>
              <c:f>Burndown!$F$1</c:f>
              <c:strCache>
                <c:ptCount val="1"/>
                <c:pt idx="0">
                  <c:v>Real</c:v>
                </c:pt>
              </c:strCache>
            </c:strRef>
          </c:tx>
          <c:spPr>
            <a:ln w="28575" cap="rnd">
              <a:solidFill>
                <a:srgbClr val="00FF00"/>
              </a:solidFill>
              <a:round/>
            </a:ln>
            <a:effectLst/>
          </c:spPr>
          <c:marker>
            <c:symbol val="none"/>
          </c:marker>
          <c:val>
            <c:numRef>
              <c:f>Burndown!$F$2:$F$86</c:f>
              <c:numCache>
                <c:formatCode>General</c:formatCode>
                <c:ptCount val="85"/>
                <c:pt idx="0">
                  <c:v>101</c:v>
                </c:pt>
                <c:pt idx="1">
                  <c:v>101</c:v>
                </c:pt>
                <c:pt idx="2">
                  <c:v>101</c:v>
                </c:pt>
                <c:pt idx="3">
                  <c:v>100</c:v>
                </c:pt>
                <c:pt idx="4">
                  <c:v>100</c:v>
                </c:pt>
                <c:pt idx="5">
                  <c:v>99</c:v>
                </c:pt>
                <c:pt idx="6">
                  <c:v>99</c:v>
                </c:pt>
                <c:pt idx="7">
                  <c:v>99</c:v>
                </c:pt>
                <c:pt idx="8">
                  <c:v>98</c:v>
                </c:pt>
                <c:pt idx="9">
                  <c:v>98</c:v>
                </c:pt>
                <c:pt idx="10">
                  <c:v>97</c:v>
                </c:pt>
                <c:pt idx="11">
                  <c:v>96</c:v>
                </c:pt>
                <c:pt idx="12">
                  <c:v>96</c:v>
                </c:pt>
                <c:pt idx="13">
                  <c:v>92</c:v>
                </c:pt>
                <c:pt idx="14">
                  <c:v>90</c:v>
                </c:pt>
                <c:pt idx="15">
                  <c:v>89</c:v>
                </c:pt>
                <c:pt idx="16">
                  <c:v>88</c:v>
                </c:pt>
                <c:pt idx="17">
                  <c:v>87</c:v>
                </c:pt>
                <c:pt idx="18">
                  <c:v>87</c:v>
                </c:pt>
                <c:pt idx="19">
                  <c:v>87</c:v>
                </c:pt>
                <c:pt idx="20">
                  <c:v>87</c:v>
                </c:pt>
                <c:pt idx="21">
                  <c:v>87</c:v>
                </c:pt>
                <c:pt idx="22">
                  <c:v>87</c:v>
                </c:pt>
                <c:pt idx="23">
                  <c:v>86</c:v>
                </c:pt>
                <c:pt idx="24">
                  <c:v>86</c:v>
                </c:pt>
                <c:pt idx="25">
                  <c:v>86</c:v>
                </c:pt>
                <c:pt idx="26">
                  <c:v>86</c:v>
                </c:pt>
                <c:pt idx="27">
                  <c:v>85</c:v>
                </c:pt>
                <c:pt idx="28">
                  <c:v>82</c:v>
                </c:pt>
                <c:pt idx="29">
                  <c:v>82</c:v>
                </c:pt>
                <c:pt idx="30">
                  <c:v>80</c:v>
                </c:pt>
                <c:pt idx="31">
                  <c:v>80</c:v>
                </c:pt>
                <c:pt idx="32">
                  <c:v>79</c:v>
                </c:pt>
                <c:pt idx="33">
                  <c:v>76</c:v>
                </c:pt>
                <c:pt idx="34">
                  <c:v>76</c:v>
                </c:pt>
                <c:pt idx="35">
                  <c:v>75</c:v>
                </c:pt>
                <c:pt idx="36">
                  <c:v>73</c:v>
                </c:pt>
                <c:pt idx="37">
                  <c:v>69</c:v>
                </c:pt>
                <c:pt idx="38">
                  <c:v>67</c:v>
                </c:pt>
                <c:pt idx="39">
                  <c:v>59</c:v>
                </c:pt>
                <c:pt idx="40">
                  <c:v>58</c:v>
                </c:pt>
                <c:pt idx="41">
                  <c:v>57</c:v>
                </c:pt>
                <c:pt idx="42">
                  <c:v>48</c:v>
                </c:pt>
                <c:pt idx="43">
                  <c:v>48</c:v>
                </c:pt>
                <c:pt idx="44">
                  <c:v>47</c:v>
                </c:pt>
                <c:pt idx="45">
                  <c:v>46</c:v>
                </c:pt>
                <c:pt idx="46">
                  <c:v>46</c:v>
                </c:pt>
                <c:pt idx="47">
                  <c:v>46</c:v>
                </c:pt>
                <c:pt idx="48">
                  <c:v>46</c:v>
                </c:pt>
                <c:pt idx="49">
                  <c:v>46</c:v>
                </c:pt>
                <c:pt idx="50">
                  <c:v>45</c:v>
                </c:pt>
                <c:pt idx="51">
                  <c:v>45</c:v>
                </c:pt>
                <c:pt idx="52">
                  <c:v>45</c:v>
                </c:pt>
                <c:pt idx="53">
                  <c:v>45</c:v>
                </c:pt>
                <c:pt idx="54">
                  <c:v>45</c:v>
                </c:pt>
                <c:pt idx="55">
                  <c:v>45</c:v>
                </c:pt>
                <c:pt idx="56">
                  <c:v>44</c:v>
                </c:pt>
                <c:pt idx="57">
                  <c:v>44</c:v>
                </c:pt>
                <c:pt idx="58">
                  <c:v>44</c:v>
                </c:pt>
                <c:pt idx="59">
                  <c:v>42</c:v>
                </c:pt>
                <c:pt idx="60">
                  <c:v>40</c:v>
                </c:pt>
                <c:pt idx="61">
                  <c:v>37</c:v>
                </c:pt>
                <c:pt idx="62">
                  <c:v>31</c:v>
                </c:pt>
                <c:pt idx="63">
                  <c:v>30</c:v>
                </c:pt>
                <c:pt idx="64">
                  <c:v>28</c:v>
                </c:pt>
                <c:pt idx="65">
                  <c:v>27</c:v>
                </c:pt>
                <c:pt idx="66">
                  <c:v>25</c:v>
                </c:pt>
                <c:pt idx="67">
                  <c:v>23</c:v>
                </c:pt>
                <c:pt idx="68">
                  <c:v>22</c:v>
                </c:pt>
                <c:pt idx="69">
                  <c:v>22</c:v>
                </c:pt>
                <c:pt idx="70">
                  <c:v>22</c:v>
                </c:pt>
                <c:pt idx="71">
                  <c:v>22</c:v>
                </c:pt>
                <c:pt idx="72">
                  <c:v>21</c:v>
                </c:pt>
                <c:pt idx="73">
                  <c:v>19</c:v>
                </c:pt>
                <c:pt idx="74">
                  <c:v>18</c:v>
                </c:pt>
                <c:pt idx="75">
                  <c:v>16</c:v>
                </c:pt>
                <c:pt idx="76">
                  <c:v>13</c:v>
                </c:pt>
                <c:pt idx="77">
                  <c:v>11</c:v>
                </c:pt>
                <c:pt idx="78">
                  <c:v>9</c:v>
                </c:pt>
                <c:pt idx="79">
                  <c:v>9</c:v>
                </c:pt>
                <c:pt idx="80">
                  <c:v>8</c:v>
                </c:pt>
                <c:pt idx="81">
                  <c:v>7</c:v>
                </c:pt>
                <c:pt idx="82">
                  <c:v>5</c:v>
                </c:pt>
                <c:pt idx="83">
                  <c:v>4</c:v>
                </c:pt>
                <c:pt idx="8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2AB-4420-AC8D-16A204A68B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7381055"/>
        <c:axId val="987382495"/>
      </c:lineChart>
      <c:lineChart>
        <c:grouping val="standard"/>
        <c:varyColors val="0"/>
        <c:ser>
          <c:idx val="2"/>
          <c:order val="2"/>
          <c:tx>
            <c:strRef>
              <c:f>Burndown!$G$1</c:f>
              <c:strCache>
                <c:ptCount val="1"/>
                <c:pt idx="0">
                  <c:v>Completed %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val>
            <c:numRef>
              <c:f>Burndown!$G$2:$G$86</c:f>
              <c:numCache>
                <c:formatCode>0%</c:formatCode>
                <c:ptCount val="8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9.9009900990099011E-3</c:v>
                </c:pt>
                <c:pt idx="4">
                  <c:v>9.9009900990099011E-3</c:v>
                </c:pt>
                <c:pt idx="5">
                  <c:v>1.9801980198019802E-2</c:v>
                </c:pt>
                <c:pt idx="6">
                  <c:v>1.9801980198019802E-2</c:v>
                </c:pt>
                <c:pt idx="7">
                  <c:v>1.9801980198019802E-2</c:v>
                </c:pt>
                <c:pt idx="8">
                  <c:v>2.9702970297029702E-2</c:v>
                </c:pt>
                <c:pt idx="9">
                  <c:v>2.9702970297029702E-2</c:v>
                </c:pt>
                <c:pt idx="10">
                  <c:v>3.9603960396039604E-2</c:v>
                </c:pt>
                <c:pt idx="11">
                  <c:v>4.9504950495049507E-2</c:v>
                </c:pt>
                <c:pt idx="12">
                  <c:v>4.9504950495049507E-2</c:v>
                </c:pt>
                <c:pt idx="13">
                  <c:v>8.9108910891089105E-2</c:v>
                </c:pt>
                <c:pt idx="14">
                  <c:v>0.10891089108910891</c:v>
                </c:pt>
                <c:pt idx="15">
                  <c:v>0.11881188118811881</c:v>
                </c:pt>
                <c:pt idx="16">
                  <c:v>0.12871287128712872</c:v>
                </c:pt>
                <c:pt idx="17">
                  <c:v>0.13861386138613863</c:v>
                </c:pt>
                <c:pt idx="18">
                  <c:v>0.13861386138613863</c:v>
                </c:pt>
                <c:pt idx="19">
                  <c:v>0.13861386138613863</c:v>
                </c:pt>
                <c:pt idx="20">
                  <c:v>0.13861386138613863</c:v>
                </c:pt>
                <c:pt idx="21">
                  <c:v>0.13861386138613863</c:v>
                </c:pt>
                <c:pt idx="22">
                  <c:v>0.13861386138613863</c:v>
                </c:pt>
                <c:pt idx="23">
                  <c:v>0.14851485148514851</c:v>
                </c:pt>
                <c:pt idx="24">
                  <c:v>0.14851485148514851</c:v>
                </c:pt>
                <c:pt idx="25">
                  <c:v>0.14851485148514851</c:v>
                </c:pt>
                <c:pt idx="26">
                  <c:v>0.14851485148514851</c:v>
                </c:pt>
                <c:pt idx="27">
                  <c:v>0.15841584158415842</c:v>
                </c:pt>
                <c:pt idx="28">
                  <c:v>0.18811881188118812</c:v>
                </c:pt>
                <c:pt idx="29">
                  <c:v>0.18811881188118812</c:v>
                </c:pt>
                <c:pt idx="30">
                  <c:v>0.20792079207920791</c:v>
                </c:pt>
                <c:pt idx="31">
                  <c:v>0.20792079207920791</c:v>
                </c:pt>
                <c:pt idx="32">
                  <c:v>0.21782178217821782</c:v>
                </c:pt>
                <c:pt idx="33">
                  <c:v>0.24752475247524752</c:v>
                </c:pt>
                <c:pt idx="34">
                  <c:v>0.24752475247524752</c:v>
                </c:pt>
                <c:pt idx="35">
                  <c:v>0.25742574257425743</c:v>
                </c:pt>
                <c:pt idx="36">
                  <c:v>0.27722772277227725</c:v>
                </c:pt>
                <c:pt idx="37">
                  <c:v>0.31683168316831684</c:v>
                </c:pt>
                <c:pt idx="38">
                  <c:v>0.33663366336633666</c:v>
                </c:pt>
                <c:pt idx="39">
                  <c:v>0.41584158415841582</c:v>
                </c:pt>
                <c:pt idx="40">
                  <c:v>0.42574257425742573</c:v>
                </c:pt>
                <c:pt idx="41">
                  <c:v>0.43564356435643564</c:v>
                </c:pt>
                <c:pt idx="42">
                  <c:v>0.52475247524752477</c:v>
                </c:pt>
                <c:pt idx="43">
                  <c:v>0.52475247524752477</c:v>
                </c:pt>
                <c:pt idx="44">
                  <c:v>0.53465346534653468</c:v>
                </c:pt>
                <c:pt idx="45">
                  <c:v>0.54455445544554459</c:v>
                </c:pt>
                <c:pt idx="46">
                  <c:v>0.54455445544554459</c:v>
                </c:pt>
                <c:pt idx="47">
                  <c:v>0.54455445544554459</c:v>
                </c:pt>
                <c:pt idx="48">
                  <c:v>0.54455445544554459</c:v>
                </c:pt>
                <c:pt idx="49">
                  <c:v>0.54455445544554459</c:v>
                </c:pt>
                <c:pt idx="50">
                  <c:v>0.5544554455445545</c:v>
                </c:pt>
                <c:pt idx="51">
                  <c:v>0.5544554455445545</c:v>
                </c:pt>
                <c:pt idx="52">
                  <c:v>0.5544554455445545</c:v>
                </c:pt>
                <c:pt idx="53">
                  <c:v>0.5544554455445545</c:v>
                </c:pt>
                <c:pt idx="54">
                  <c:v>0.5544554455445545</c:v>
                </c:pt>
                <c:pt idx="55">
                  <c:v>0.5544554455445545</c:v>
                </c:pt>
                <c:pt idx="56">
                  <c:v>0.5643564356435643</c:v>
                </c:pt>
                <c:pt idx="57">
                  <c:v>0.5643564356435643</c:v>
                </c:pt>
                <c:pt idx="58">
                  <c:v>0.5643564356435643</c:v>
                </c:pt>
                <c:pt idx="59">
                  <c:v>0.58415841584158412</c:v>
                </c:pt>
                <c:pt idx="60">
                  <c:v>0.60396039603960394</c:v>
                </c:pt>
                <c:pt idx="61">
                  <c:v>0.63366336633663367</c:v>
                </c:pt>
                <c:pt idx="62">
                  <c:v>0.69306930693069302</c:v>
                </c:pt>
                <c:pt idx="63">
                  <c:v>0.70297029702970293</c:v>
                </c:pt>
                <c:pt idx="64">
                  <c:v>0.72277227722772275</c:v>
                </c:pt>
                <c:pt idx="65">
                  <c:v>0.73267326732673266</c:v>
                </c:pt>
                <c:pt idx="66">
                  <c:v>0.75247524752475248</c:v>
                </c:pt>
                <c:pt idx="67">
                  <c:v>0.7722772277227723</c:v>
                </c:pt>
                <c:pt idx="68">
                  <c:v>0.78217821782178221</c:v>
                </c:pt>
                <c:pt idx="69">
                  <c:v>0.78217821782178221</c:v>
                </c:pt>
                <c:pt idx="70">
                  <c:v>0.78217821782178221</c:v>
                </c:pt>
                <c:pt idx="71">
                  <c:v>0.78217821782178221</c:v>
                </c:pt>
                <c:pt idx="72">
                  <c:v>0.79207920792079212</c:v>
                </c:pt>
                <c:pt idx="73">
                  <c:v>0.81188118811881194</c:v>
                </c:pt>
                <c:pt idx="74">
                  <c:v>0.82178217821782173</c:v>
                </c:pt>
                <c:pt idx="75">
                  <c:v>0.84158415841584155</c:v>
                </c:pt>
                <c:pt idx="76">
                  <c:v>0.87128712871287128</c:v>
                </c:pt>
                <c:pt idx="77">
                  <c:v>0.8910891089108911</c:v>
                </c:pt>
                <c:pt idx="78">
                  <c:v>0.91089108910891092</c:v>
                </c:pt>
                <c:pt idx="79">
                  <c:v>0.91089108910891092</c:v>
                </c:pt>
                <c:pt idx="80">
                  <c:v>0.92079207920792083</c:v>
                </c:pt>
                <c:pt idx="81">
                  <c:v>0.93069306930693074</c:v>
                </c:pt>
                <c:pt idx="82">
                  <c:v>0.95049504950495045</c:v>
                </c:pt>
                <c:pt idx="83">
                  <c:v>0.96039603960396036</c:v>
                </c:pt>
                <c:pt idx="8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2AB-4420-AC8D-16A204A68B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2424351"/>
        <c:axId val="991847183"/>
      </c:lineChart>
      <c:catAx>
        <c:axId val="98738105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7382495"/>
        <c:crosses val="autoZero"/>
        <c:auto val="1"/>
        <c:lblAlgn val="ctr"/>
        <c:lblOffset val="100"/>
        <c:noMultiLvlLbl val="0"/>
      </c:catAx>
      <c:valAx>
        <c:axId val="987382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7381055"/>
        <c:crosses val="autoZero"/>
        <c:crossBetween val="between"/>
      </c:valAx>
      <c:valAx>
        <c:axId val="991847183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2424351"/>
        <c:crosses val="max"/>
        <c:crossBetween val="between"/>
      </c:valAx>
      <c:catAx>
        <c:axId val="1342424351"/>
        <c:scaling>
          <c:orientation val="minMax"/>
        </c:scaling>
        <c:delete val="1"/>
        <c:axPos val="b"/>
        <c:majorTickMark val="out"/>
        <c:minorTickMark val="none"/>
        <c:tickLblPos val="nextTo"/>
        <c:crossAx val="99184718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egendEntry>
        <c:idx val="4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176211</xdr:colOff>
      <xdr:row>0</xdr:row>
      <xdr:rowOff>33336</xdr:rowOff>
    </xdr:from>
    <xdr:to>
      <xdr:col>16</xdr:col>
      <xdr:colOff>676274</xdr:colOff>
      <xdr:row>20</xdr:row>
      <xdr:rowOff>180974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24FDB81-F921-2709-971A-4AB31C0E8E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0.82299</cdr:x>
      <cdr:y>0.13745</cdr:y>
    </cdr:from>
    <cdr:to>
      <cdr:x>0.82299</cdr:x>
      <cdr:y>0.84363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A43F282D-37CB-1DF2-EF4F-DE9233F28E30}"/>
            </a:ext>
          </a:extLst>
        </cdr:cNvPr>
        <cdr:cNvCxnSpPr/>
      </cdr:nvCxnSpPr>
      <cdr:spPr>
        <a:xfrm xmlns:a="http://schemas.openxmlformats.org/drawingml/2006/main" flipV="1">
          <a:off x="5491184" y="519102"/>
          <a:ext cx="0" cy="2667004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152">
      <a:dk1>
        <a:sysClr val="windowText" lastClr="000000"/>
      </a:dk1>
      <a:lt1>
        <a:sysClr val="window" lastClr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Project Planner Gantt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  <pageSetUpPr fitToPage="1"/>
  </sheetPr>
  <dimension ref="B1:DJ128"/>
  <sheetViews>
    <sheetView showGridLines="0" zoomScale="60" zoomScaleNormal="60" zoomScaleSheetLayoutView="80" workbookViewId="0">
      <pane xSplit="11" ySplit="4" topLeftCell="BX5" activePane="bottomRight" state="frozen"/>
      <selection pane="topRight" activeCell="J1" sqref="J1"/>
      <selection pane="bottomLeft" activeCell="A5" sqref="A5"/>
      <selection pane="bottomRight" activeCell="B5" sqref="B5:J127"/>
    </sheetView>
  </sheetViews>
  <sheetFormatPr defaultColWidth="3.25" defaultRowHeight="30" customHeight="1" outlineLevelRow="2" x14ac:dyDescent="0.3"/>
  <cols>
    <col min="1" max="1" width="2.625" customWidth="1"/>
    <col min="2" max="2" width="7.25" customWidth="1"/>
    <col min="3" max="3" width="69.625" style="2" customWidth="1"/>
    <col min="4" max="4" width="14.25" style="28" bestFit="1" customWidth="1"/>
    <col min="5" max="5" width="20.625" style="2" customWidth="1"/>
    <col min="6" max="6" width="9.875" style="28" customWidth="1"/>
    <col min="7" max="10" width="10.625" style="1" customWidth="1"/>
    <col min="11" max="11" width="13.75" style="4" customWidth="1"/>
    <col min="12" max="31" width="4.125" style="1" customWidth="1"/>
    <col min="32" max="95" width="4.125" customWidth="1"/>
    <col min="111" max="114" width="4" bestFit="1" customWidth="1"/>
  </cols>
  <sheetData>
    <row r="1" spans="2:114" ht="60" customHeight="1" thickBot="1" x14ac:dyDescent="0.3">
      <c r="C1" s="54" t="s">
        <v>2</v>
      </c>
      <c r="D1" s="54"/>
      <c r="E1" s="54"/>
      <c r="F1" s="54"/>
      <c r="G1" s="54"/>
      <c r="H1" s="54"/>
      <c r="I1" s="54"/>
      <c r="J1" s="54"/>
      <c r="K1" s="54"/>
    </row>
    <row r="2" spans="2:114" ht="21" customHeight="1" thickTop="1" thickBot="1" x14ac:dyDescent="0.3">
      <c r="C2" s="16" t="s">
        <v>12</v>
      </c>
      <c r="D2" s="23"/>
      <c r="E2" s="16"/>
      <c r="F2" s="23"/>
      <c r="G2" s="16"/>
      <c r="H2" s="16"/>
      <c r="I2" s="16"/>
      <c r="J2" s="16"/>
      <c r="K2" s="5" t="s">
        <v>13</v>
      </c>
      <c r="L2" s="10">
        <v>84</v>
      </c>
      <c r="N2" s="11"/>
      <c r="O2" s="58" t="s">
        <v>14</v>
      </c>
      <c r="P2" s="59"/>
      <c r="Q2" s="59"/>
      <c r="R2" s="59"/>
      <c r="S2" s="60"/>
      <c r="T2" s="12"/>
      <c r="U2" s="58" t="s">
        <v>15</v>
      </c>
      <c r="V2" s="61"/>
      <c r="W2" s="61"/>
      <c r="X2" s="13"/>
      <c r="Y2" s="55" t="s">
        <v>16</v>
      </c>
      <c r="Z2" s="56"/>
      <c r="AA2" s="56"/>
      <c r="AB2" s="56"/>
      <c r="AC2" s="14"/>
      <c r="AD2" s="55" t="s">
        <v>17</v>
      </c>
      <c r="AE2" s="56"/>
      <c r="AF2" s="56"/>
      <c r="AG2" s="56"/>
      <c r="AH2" s="56"/>
      <c r="AI2" s="56"/>
      <c r="AJ2" s="15"/>
      <c r="AK2" s="55" t="s">
        <v>18</v>
      </c>
      <c r="AL2" s="56"/>
      <c r="AM2" s="56"/>
      <c r="AN2" s="56"/>
      <c r="AO2" s="56"/>
      <c r="AP2" s="56"/>
      <c r="AQ2" s="56"/>
      <c r="AR2" s="56"/>
      <c r="AS2" s="17"/>
      <c r="AT2" s="17"/>
    </row>
    <row r="3" spans="2:114" s="9" customFormat="1" ht="63" customHeight="1" thickTop="1" x14ac:dyDescent="0.2">
      <c r="B3" s="50" t="s">
        <v>0</v>
      </c>
      <c r="C3" s="52" t="s">
        <v>33</v>
      </c>
      <c r="D3" s="24" t="s">
        <v>112</v>
      </c>
      <c r="E3" s="18" t="s">
        <v>3</v>
      </c>
      <c r="F3" s="50" t="s">
        <v>257</v>
      </c>
      <c r="G3" s="50" t="s">
        <v>4</v>
      </c>
      <c r="H3" s="50" t="s">
        <v>5</v>
      </c>
      <c r="I3" s="50" t="s">
        <v>6</v>
      </c>
      <c r="J3" s="50" t="s">
        <v>7</v>
      </c>
      <c r="K3" s="57" t="s">
        <v>245</v>
      </c>
      <c r="L3" s="21">
        <v>45915</v>
      </c>
      <c r="M3" s="21">
        <v>45916</v>
      </c>
      <c r="N3" s="21">
        <v>45917</v>
      </c>
      <c r="O3" s="21">
        <v>45918</v>
      </c>
      <c r="P3" s="21">
        <v>45919</v>
      </c>
      <c r="Q3" s="21">
        <v>45920</v>
      </c>
      <c r="R3" s="21">
        <v>45921</v>
      </c>
      <c r="S3" s="21">
        <v>45922</v>
      </c>
      <c r="T3" s="21">
        <v>45923</v>
      </c>
      <c r="U3" s="21">
        <v>45924</v>
      </c>
      <c r="V3" s="21">
        <v>45925</v>
      </c>
      <c r="W3" s="21">
        <v>45926</v>
      </c>
      <c r="X3" s="21">
        <v>45927</v>
      </c>
      <c r="Y3" s="21">
        <v>45928</v>
      </c>
      <c r="Z3" s="21">
        <v>45929</v>
      </c>
      <c r="AA3" s="21">
        <v>45930</v>
      </c>
      <c r="AB3" s="21">
        <v>45931</v>
      </c>
      <c r="AC3" s="21">
        <v>45932</v>
      </c>
      <c r="AD3" s="21">
        <v>45933</v>
      </c>
      <c r="AE3" s="21">
        <v>45934</v>
      </c>
      <c r="AF3" s="21">
        <v>45935</v>
      </c>
      <c r="AG3" s="21">
        <v>45936</v>
      </c>
      <c r="AH3" s="21">
        <v>45937</v>
      </c>
      <c r="AI3" s="21">
        <v>45938</v>
      </c>
      <c r="AJ3" s="21">
        <v>45939</v>
      </c>
      <c r="AK3" s="21">
        <v>45940</v>
      </c>
      <c r="AL3" s="21">
        <v>45941</v>
      </c>
      <c r="AM3" s="21">
        <v>45942</v>
      </c>
      <c r="AN3" s="21">
        <v>45943</v>
      </c>
      <c r="AO3" s="21">
        <v>45944</v>
      </c>
      <c r="AP3" s="21">
        <v>45945</v>
      </c>
      <c r="AQ3" s="21">
        <v>45946</v>
      </c>
      <c r="AR3" s="21">
        <v>45947</v>
      </c>
      <c r="AS3" s="21">
        <v>45948</v>
      </c>
      <c r="AT3" s="21">
        <v>45949</v>
      </c>
      <c r="AU3" s="21">
        <v>45950</v>
      </c>
      <c r="AV3" s="21">
        <v>45951</v>
      </c>
      <c r="AW3" s="21">
        <v>45952</v>
      </c>
      <c r="AX3" s="21">
        <v>45953</v>
      </c>
      <c r="AY3" s="21">
        <v>45954</v>
      </c>
      <c r="AZ3" s="21">
        <v>45955</v>
      </c>
      <c r="BA3" s="21">
        <v>45956</v>
      </c>
      <c r="BB3" s="21">
        <v>45957</v>
      </c>
      <c r="BC3" s="21">
        <v>45958</v>
      </c>
      <c r="BD3" s="21">
        <v>45959</v>
      </c>
      <c r="BE3" s="21">
        <v>45960</v>
      </c>
      <c r="BF3" s="21">
        <v>45961</v>
      </c>
      <c r="BG3" s="21">
        <v>45962</v>
      </c>
      <c r="BH3" s="21">
        <v>45963</v>
      </c>
      <c r="BI3" s="21">
        <v>45964</v>
      </c>
      <c r="BJ3" s="21">
        <v>45965</v>
      </c>
      <c r="BK3" s="21">
        <v>45966</v>
      </c>
      <c r="BL3" s="21">
        <v>45967</v>
      </c>
      <c r="BM3" s="21">
        <v>45968</v>
      </c>
      <c r="BN3" s="21">
        <v>45969</v>
      </c>
      <c r="BO3" s="21">
        <v>45970</v>
      </c>
      <c r="BP3" s="21">
        <v>45971</v>
      </c>
      <c r="BQ3" s="21">
        <v>45972</v>
      </c>
      <c r="BR3" s="21">
        <v>45973</v>
      </c>
      <c r="BS3" s="21">
        <v>45974</v>
      </c>
      <c r="BT3" s="21">
        <v>45975</v>
      </c>
      <c r="BU3" s="21">
        <v>45976</v>
      </c>
      <c r="BV3" s="21">
        <v>45977</v>
      </c>
      <c r="BW3" s="21">
        <v>45978</v>
      </c>
      <c r="BX3" s="21">
        <v>45979</v>
      </c>
      <c r="BY3" s="21">
        <v>45980</v>
      </c>
      <c r="BZ3" s="21">
        <v>45981</v>
      </c>
      <c r="CA3" s="21">
        <v>45982</v>
      </c>
      <c r="CB3" s="21">
        <v>45983</v>
      </c>
      <c r="CC3" s="21">
        <v>45984</v>
      </c>
      <c r="CD3" s="21">
        <v>45985</v>
      </c>
      <c r="CE3" s="21">
        <v>45986</v>
      </c>
      <c r="CF3" s="21">
        <v>45987</v>
      </c>
      <c r="CG3" s="21">
        <v>45988</v>
      </c>
      <c r="CH3" s="21">
        <v>45989</v>
      </c>
      <c r="CI3" s="21">
        <v>45990</v>
      </c>
      <c r="CJ3" s="21">
        <v>45991</v>
      </c>
      <c r="CK3" s="21">
        <v>45992</v>
      </c>
      <c r="CL3" s="21">
        <v>45993</v>
      </c>
      <c r="CM3" s="21">
        <v>45994</v>
      </c>
      <c r="CN3" s="21">
        <v>45995</v>
      </c>
      <c r="CO3" s="21">
        <v>45996</v>
      </c>
      <c r="CP3" s="21">
        <v>45997</v>
      </c>
      <c r="CQ3" s="21">
        <v>45998</v>
      </c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</row>
    <row r="4" spans="2:114" ht="15.75" customHeight="1" x14ac:dyDescent="0.25">
      <c r="B4" s="51"/>
      <c r="C4" s="53"/>
      <c r="D4" s="25"/>
      <c r="E4" s="19"/>
      <c r="F4" s="51"/>
      <c r="G4" s="51"/>
      <c r="H4" s="51"/>
      <c r="I4" s="51"/>
      <c r="J4" s="51"/>
      <c r="K4" s="51"/>
      <c r="L4" s="3" t="s">
        <v>256</v>
      </c>
      <c r="M4" s="3">
        <v>2</v>
      </c>
      <c r="N4" s="3">
        <v>3</v>
      </c>
      <c r="O4" s="3">
        <v>4</v>
      </c>
      <c r="P4" s="3">
        <v>5</v>
      </c>
      <c r="Q4" s="3">
        <v>6</v>
      </c>
      <c r="R4" s="3">
        <v>7</v>
      </c>
      <c r="S4" s="3">
        <v>8</v>
      </c>
      <c r="T4" s="3">
        <v>9</v>
      </c>
      <c r="U4" s="3">
        <v>10</v>
      </c>
      <c r="V4" s="3">
        <v>11</v>
      </c>
      <c r="W4" s="3">
        <v>12</v>
      </c>
      <c r="X4" s="3">
        <v>13</v>
      </c>
      <c r="Y4" s="3">
        <v>14</v>
      </c>
      <c r="Z4" s="3">
        <v>15</v>
      </c>
      <c r="AA4" s="3">
        <v>16</v>
      </c>
      <c r="AB4" s="3">
        <v>17</v>
      </c>
      <c r="AC4" s="3">
        <v>18</v>
      </c>
      <c r="AD4" s="3">
        <v>19</v>
      </c>
      <c r="AE4" s="3">
        <v>20</v>
      </c>
      <c r="AF4" s="3">
        <v>21</v>
      </c>
      <c r="AG4" s="3">
        <v>22</v>
      </c>
      <c r="AH4" s="3">
        <v>23</v>
      </c>
      <c r="AI4" s="3">
        <v>24</v>
      </c>
      <c r="AJ4" s="3">
        <v>25</v>
      </c>
      <c r="AK4" s="3">
        <v>26</v>
      </c>
      <c r="AL4" s="3">
        <v>27</v>
      </c>
      <c r="AM4" s="3">
        <v>28</v>
      </c>
      <c r="AN4" s="3">
        <v>29</v>
      </c>
      <c r="AO4" s="3">
        <v>30</v>
      </c>
      <c r="AP4" s="3">
        <v>31</v>
      </c>
      <c r="AQ4" s="3">
        <v>32</v>
      </c>
      <c r="AR4" s="3">
        <v>33</v>
      </c>
      <c r="AS4" s="3">
        <v>34</v>
      </c>
      <c r="AT4" s="3">
        <v>35</v>
      </c>
      <c r="AU4" s="3">
        <v>36</v>
      </c>
      <c r="AV4" s="3">
        <v>37</v>
      </c>
      <c r="AW4" s="3">
        <v>38</v>
      </c>
      <c r="AX4" s="3">
        <v>39</v>
      </c>
      <c r="AY4" s="3">
        <v>40</v>
      </c>
      <c r="AZ4" s="3">
        <v>41</v>
      </c>
      <c r="BA4" s="3">
        <v>42</v>
      </c>
      <c r="BB4" s="3">
        <v>43</v>
      </c>
      <c r="BC4" s="3">
        <v>44</v>
      </c>
      <c r="BD4" s="3">
        <v>45</v>
      </c>
      <c r="BE4" s="3">
        <v>46</v>
      </c>
      <c r="BF4" s="3">
        <v>47</v>
      </c>
      <c r="BG4" s="3">
        <v>48</v>
      </c>
      <c r="BH4" s="3">
        <v>49</v>
      </c>
      <c r="BI4" s="3">
        <v>50</v>
      </c>
      <c r="BJ4" s="3">
        <v>51</v>
      </c>
      <c r="BK4" s="3">
        <v>52</v>
      </c>
      <c r="BL4" s="3">
        <v>53</v>
      </c>
      <c r="BM4" s="3">
        <v>54</v>
      </c>
      <c r="BN4" s="3">
        <v>55</v>
      </c>
      <c r="BO4" s="3">
        <v>56</v>
      </c>
      <c r="BP4" s="3">
        <v>57</v>
      </c>
      <c r="BQ4" s="3">
        <v>58</v>
      </c>
      <c r="BR4" s="3">
        <v>59</v>
      </c>
      <c r="BS4" s="3">
        <v>60</v>
      </c>
      <c r="BT4" s="3">
        <v>61</v>
      </c>
      <c r="BU4" s="3">
        <v>62</v>
      </c>
      <c r="BV4" s="3">
        <v>63</v>
      </c>
      <c r="BW4" s="3">
        <v>64</v>
      </c>
      <c r="BX4" s="3">
        <v>65</v>
      </c>
      <c r="BY4" s="3">
        <v>66</v>
      </c>
      <c r="BZ4" s="3">
        <v>67</v>
      </c>
      <c r="CA4" s="3">
        <v>68</v>
      </c>
      <c r="CB4" s="3">
        <v>69</v>
      </c>
      <c r="CC4" s="3">
        <v>70</v>
      </c>
      <c r="CD4" s="3">
        <v>71</v>
      </c>
      <c r="CE4" s="3">
        <v>72</v>
      </c>
      <c r="CF4" s="3">
        <v>73</v>
      </c>
      <c r="CG4" s="3">
        <v>74</v>
      </c>
      <c r="CH4" s="3">
        <v>75</v>
      </c>
      <c r="CI4" s="3">
        <v>76</v>
      </c>
      <c r="CJ4" s="3">
        <v>77</v>
      </c>
      <c r="CK4" s="3">
        <v>78</v>
      </c>
      <c r="CL4" s="3">
        <v>79</v>
      </c>
      <c r="CM4" s="3">
        <v>80</v>
      </c>
      <c r="CN4" s="3">
        <v>81</v>
      </c>
      <c r="CO4" s="3">
        <v>82</v>
      </c>
      <c r="CP4" s="3">
        <v>83</v>
      </c>
      <c r="CQ4" s="3">
        <v>84</v>
      </c>
      <c r="CR4" s="3">
        <v>85</v>
      </c>
      <c r="CS4" s="3">
        <v>86</v>
      </c>
      <c r="CT4" s="3">
        <v>87</v>
      </c>
      <c r="CU4" s="3">
        <v>88</v>
      </c>
      <c r="CV4" s="3">
        <v>89</v>
      </c>
      <c r="CW4" s="3">
        <v>90</v>
      </c>
      <c r="CX4" s="3">
        <v>91</v>
      </c>
      <c r="CY4" s="3">
        <v>92</v>
      </c>
      <c r="CZ4" s="3">
        <v>93</v>
      </c>
      <c r="DA4" s="3">
        <v>94</v>
      </c>
      <c r="DB4" s="3">
        <v>95</v>
      </c>
      <c r="DC4" s="3">
        <v>96</v>
      </c>
      <c r="DD4" s="3">
        <v>97</v>
      </c>
      <c r="DE4" s="3">
        <v>98</v>
      </c>
      <c r="DF4" s="3">
        <v>99</v>
      </c>
      <c r="DG4" s="3">
        <v>100</v>
      </c>
      <c r="DH4" s="3">
        <v>101</v>
      </c>
      <c r="DI4" s="3">
        <v>102</v>
      </c>
      <c r="DJ4" s="3">
        <v>103</v>
      </c>
    </row>
    <row r="5" spans="2:114" ht="30" customHeight="1" x14ac:dyDescent="0.3">
      <c r="B5">
        <v>1</v>
      </c>
      <c r="C5" s="6" t="s">
        <v>10</v>
      </c>
      <c r="D5" s="26">
        <v>1</v>
      </c>
      <c r="E5" s="6" t="s">
        <v>11</v>
      </c>
      <c r="F5" s="26"/>
      <c r="G5" s="7">
        <v>1</v>
      </c>
      <c r="H5" s="7">
        <v>14</v>
      </c>
      <c r="I5" s="7">
        <v>1</v>
      </c>
      <c r="J5" s="7">
        <v>14</v>
      </c>
      <c r="K5" s="8">
        <v>1</v>
      </c>
    </row>
    <row r="6" spans="2:114" ht="30" customHeight="1" x14ac:dyDescent="0.3">
      <c r="B6" t="s">
        <v>127</v>
      </c>
      <c r="C6" s="6" t="s">
        <v>19</v>
      </c>
      <c r="D6" s="26">
        <v>1</v>
      </c>
      <c r="E6" s="6" t="s">
        <v>25</v>
      </c>
      <c r="F6" s="26">
        <v>3</v>
      </c>
      <c r="G6" s="7">
        <v>1</v>
      </c>
      <c r="H6" s="7">
        <v>10</v>
      </c>
      <c r="I6" s="7">
        <v>1</v>
      </c>
      <c r="J6" s="7">
        <v>14</v>
      </c>
      <c r="K6" s="8">
        <v>1</v>
      </c>
    </row>
    <row r="7" spans="2:114" ht="30" hidden="1" customHeight="1" outlineLevel="1" x14ac:dyDescent="0.3">
      <c r="B7" t="s">
        <v>128</v>
      </c>
      <c r="C7" s="22" t="s">
        <v>43</v>
      </c>
      <c r="D7" s="27"/>
      <c r="E7" s="6" t="s">
        <v>25</v>
      </c>
      <c r="F7" s="26"/>
      <c r="G7" s="7">
        <v>1</v>
      </c>
      <c r="H7" s="7">
        <v>2</v>
      </c>
      <c r="I7" s="7">
        <v>1</v>
      </c>
      <c r="J7" s="7">
        <v>3</v>
      </c>
      <c r="K7" s="8">
        <v>1</v>
      </c>
    </row>
    <row r="8" spans="2:114" ht="30" hidden="1" customHeight="1" outlineLevel="1" x14ac:dyDescent="0.3">
      <c r="B8" t="s">
        <v>129</v>
      </c>
      <c r="C8" s="22" t="s">
        <v>44</v>
      </c>
      <c r="D8" s="27"/>
      <c r="E8" s="6" t="s">
        <v>25</v>
      </c>
      <c r="F8" s="26"/>
      <c r="G8" s="7">
        <v>2</v>
      </c>
      <c r="H8" s="7">
        <v>2</v>
      </c>
      <c r="I8" s="7">
        <v>3</v>
      </c>
      <c r="J8" s="7">
        <v>3</v>
      </c>
      <c r="K8" s="8">
        <v>1</v>
      </c>
    </row>
    <row r="9" spans="2:114" ht="30" hidden="1" customHeight="1" outlineLevel="1" x14ac:dyDescent="0.3">
      <c r="B9" t="s">
        <v>130</v>
      </c>
      <c r="C9" s="22" t="s">
        <v>45</v>
      </c>
      <c r="D9" s="27"/>
      <c r="E9" s="6" t="s">
        <v>25</v>
      </c>
      <c r="F9" s="26"/>
      <c r="G9" s="7">
        <v>4</v>
      </c>
      <c r="H9" s="7">
        <v>2</v>
      </c>
      <c r="I9" s="7">
        <v>6</v>
      </c>
      <c r="J9" s="7">
        <v>3</v>
      </c>
      <c r="K9" s="8">
        <v>1</v>
      </c>
    </row>
    <row r="10" spans="2:114" ht="30" hidden="1" customHeight="1" outlineLevel="1" x14ac:dyDescent="0.3">
      <c r="B10" t="s">
        <v>131</v>
      </c>
      <c r="C10" s="22" t="s">
        <v>46</v>
      </c>
      <c r="D10" s="27"/>
      <c r="E10" s="6" t="s">
        <v>25</v>
      </c>
      <c r="F10" s="26"/>
      <c r="G10" s="7">
        <v>6</v>
      </c>
      <c r="H10" s="7">
        <v>2</v>
      </c>
      <c r="I10" s="7">
        <v>9</v>
      </c>
      <c r="J10" s="7">
        <v>3</v>
      </c>
      <c r="K10" s="8">
        <v>1</v>
      </c>
    </row>
    <row r="11" spans="2:114" ht="30" hidden="1" customHeight="1" outlineLevel="1" x14ac:dyDescent="0.3">
      <c r="B11" t="s">
        <v>132</v>
      </c>
      <c r="C11" s="22" t="s">
        <v>47</v>
      </c>
      <c r="D11" s="27"/>
      <c r="E11" s="6" t="s">
        <v>25</v>
      </c>
      <c r="F11" s="26"/>
      <c r="G11" s="7">
        <v>8</v>
      </c>
      <c r="H11" s="7">
        <v>2</v>
      </c>
      <c r="I11" s="7">
        <v>12</v>
      </c>
      <c r="J11" s="7">
        <v>3</v>
      </c>
      <c r="K11" s="8">
        <v>1</v>
      </c>
    </row>
    <row r="12" spans="2:114" ht="30" customHeight="1" collapsed="1" x14ac:dyDescent="0.3">
      <c r="B12" t="s">
        <v>133</v>
      </c>
      <c r="C12" s="6" t="s">
        <v>20</v>
      </c>
      <c r="D12" s="26">
        <v>1</v>
      </c>
      <c r="E12" s="6" t="s">
        <v>11</v>
      </c>
      <c r="F12" s="26">
        <v>2</v>
      </c>
      <c r="G12" s="7">
        <v>13</v>
      </c>
      <c r="H12" s="7">
        <v>5</v>
      </c>
      <c r="I12" s="7">
        <v>13</v>
      </c>
      <c r="J12" s="7">
        <v>5</v>
      </c>
      <c r="K12" s="8">
        <v>1</v>
      </c>
    </row>
    <row r="13" spans="2:114" ht="30" hidden="1" customHeight="1" outlineLevel="1" x14ac:dyDescent="0.3">
      <c r="B13" t="s">
        <v>134</v>
      </c>
      <c r="C13" s="22" t="s">
        <v>38</v>
      </c>
      <c r="D13" s="27"/>
      <c r="E13" s="6" t="s">
        <v>11</v>
      </c>
      <c r="F13" s="26"/>
      <c r="G13" s="7">
        <v>13</v>
      </c>
      <c r="H13" s="7">
        <v>1</v>
      </c>
      <c r="I13" s="7">
        <v>13</v>
      </c>
      <c r="J13" s="7">
        <v>1</v>
      </c>
      <c r="K13" s="8">
        <v>1</v>
      </c>
    </row>
    <row r="14" spans="2:114" ht="30" hidden="1" customHeight="1" outlineLevel="1" x14ac:dyDescent="0.3">
      <c r="B14" t="s">
        <v>135</v>
      </c>
      <c r="C14" s="22" t="s">
        <v>39</v>
      </c>
      <c r="D14" s="27"/>
      <c r="E14" s="6" t="s">
        <v>11</v>
      </c>
      <c r="F14" s="26"/>
      <c r="G14" s="7">
        <v>14</v>
      </c>
      <c r="H14" s="7">
        <v>1</v>
      </c>
      <c r="I14" s="7">
        <v>14</v>
      </c>
      <c r="J14" s="7">
        <v>1</v>
      </c>
      <c r="K14" s="8">
        <v>1</v>
      </c>
    </row>
    <row r="15" spans="2:114" ht="30" hidden="1" customHeight="1" outlineLevel="1" x14ac:dyDescent="0.3">
      <c r="B15" t="s">
        <v>136</v>
      </c>
      <c r="C15" s="22" t="s">
        <v>40</v>
      </c>
      <c r="D15" s="27"/>
      <c r="E15" s="6" t="s">
        <v>11</v>
      </c>
      <c r="F15" s="26"/>
      <c r="G15" s="7">
        <v>15</v>
      </c>
      <c r="H15" s="7">
        <v>1</v>
      </c>
      <c r="I15" s="7">
        <v>15</v>
      </c>
      <c r="J15" s="7">
        <v>1</v>
      </c>
      <c r="K15" s="8">
        <v>1</v>
      </c>
    </row>
    <row r="16" spans="2:114" ht="30" hidden="1" customHeight="1" outlineLevel="1" x14ac:dyDescent="0.3">
      <c r="B16" t="s">
        <v>137</v>
      </c>
      <c r="C16" s="22" t="s">
        <v>41</v>
      </c>
      <c r="D16" s="27"/>
      <c r="E16" s="6" t="s">
        <v>11</v>
      </c>
      <c r="F16" s="26"/>
      <c r="G16" s="7">
        <v>16</v>
      </c>
      <c r="H16" s="7">
        <v>1</v>
      </c>
      <c r="I16" s="7">
        <v>16</v>
      </c>
      <c r="J16" s="7">
        <v>1</v>
      </c>
      <c r="K16" s="8">
        <v>1</v>
      </c>
    </row>
    <row r="17" spans="2:11" ht="30" hidden="1" customHeight="1" outlineLevel="1" x14ac:dyDescent="0.3">
      <c r="B17" t="s">
        <v>138</v>
      </c>
      <c r="C17" s="22" t="s">
        <v>42</v>
      </c>
      <c r="D17" s="27"/>
      <c r="E17" s="6" t="s">
        <v>11</v>
      </c>
      <c r="F17" s="26"/>
      <c r="G17" s="7">
        <v>17</v>
      </c>
      <c r="H17" s="7">
        <v>1</v>
      </c>
      <c r="I17" s="7">
        <v>17</v>
      </c>
      <c r="J17" s="7">
        <v>1</v>
      </c>
      <c r="K17" s="8">
        <v>1</v>
      </c>
    </row>
    <row r="18" spans="2:11" ht="30" customHeight="1" collapsed="1" x14ac:dyDescent="0.3">
      <c r="B18" t="s">
        <v>139</v>
      </c>
      <c r="C18" s="6" t="s">
        <v>21</v>
      </c>
      <c r="D18" s="26">
        <v>1</v>
      </c>
      <c r="E18" s="6" t="s">
        <v>11</v>
      </c>
      <c r="F18" s="26">
        <v>2</v>
      </c>
      <c r="G18" s="7">
        <v>11</v>
      </c>
      <c r="H18" s="7">
        <v>4</v>
      </c>
      <c r="I18" s="7">
        <v>11</v>
      </c>
      <c r="J18" s="7">
        <v>4</v>
      </c>
      <c r="K18" s="8">
        <v>1</v>
      </c>
    </row>
    <row r="19" spans="2:11" ht="30" hidden="1" customHeight="1" outlineLevel="1" x14ac:dyDescent="0.3">
      <c r="B19" t="s">
        <v>140</v>
      </c>
      <c r="C19" s="22" t="s">
        <v>34</v>
      </c>
      <c r="D19" s="27"/>
      <c r="E19" s="6" t="s">
        <v>11</v>
      </c>
      <c r="F19" s="26"/>
      <c r="G19" s="7">
        <v>11</v>
      </c>
      <c r="H19" s="7">
        <v>0.5</v>
      </c>
      <c r="I19" s="7">
        <v>11</v>
      </c>
      <c r="J19" s="7">
        <v>0.5</v>
      </c>
      <c r="K19" s="8">
        <v>1</v>
      </c>
    </row>
    <row r="20" spans="2:11" ht="30" hidden="1" customHeight="1" outlineLevel="1" x14ac:dyDescent="0.3">
      <c r="B20" t="s">
        <v>141</v>
      </c>
      <c r="C20" s="22" t="s">
        <v>35</v>
      </c>
      <c r="D20" s="27"/>
      <c r="E20" s="6" t="s">
        <v>11</v>
      </c>
      <c r="F20" s="26"/>
      <c r="G20" s="7">
        <v>12</v>
      </c>
      <c r="H20" s="7">
        <v>2</v>
      </c>
      <c r="I20" s="7">
        <v>12</v>
      </c>
      <c r="J20" s="7">
        <v>2</v>
      </c>
      <c r="K20" s="8">
        <v>1</v>
      </c>
    </row>
    <row r="21" spans="2:11" ht="30" hidden="1" customHeight="1" outlineLevel="1" x14ac:dyDescent="0.3">
      <c r="B21" t="s">
        <v>142</v>
      </c>
      <c r="C21" s="22" t="s">
        <v>36</v>
      </c>
      <c r="D21" s="27"/>
      <c r="E21" s="6" t="s">
        <v>11</v>
      </c>
      <c r="F21" s="26"/>
      <c r="G21" s="7">
        <v>13</v>
      </c>
      <c r="H21" s="7">
        <v>1</v>
      </c>
      <c r="I21" s="7">
        <v>13</v>
      </c>
      <c r="J21" s="7">
        <v>1</v>
      </c>
      <c r="K21" s="8">
        <v>1</v>
      </c>
    </row>
    <row r="22" spans="2:11" ht="30" hidden="1" customHeight="1" outlineLevel="1" x14ac:dyDescent="0.3">
      <c r="B22" t="s">
        <v>143</v>
      </c>
      <c r="C22" s="22" t="s">
        <v>37</v>
      </c>
      <c r="D22" s="27"/>
      <c r="E22" s="6" t="s">
        <v>11</v>
      </c>
      <c r="F22" s="26"/>
      <c r="G22" s="7">
        <v>14</v>
      </c>
      <c r="H22" s="7">
        <v>0.5</v>
      </c>
      <c r="I22" s="7">
        <v>14</v>
      </c>
      <c r="J22" s="7">
        <v>0.5</v>
      </c>
      <c r="K22" s="8">
        <v>1</v>
      </c>
    </row>
    <row r="23" spans="2:11" ht="30" customHeight="1" collapsed="1" x14ac:dyDescent="0.3">
      <c r="B23">
        <v>2</v>
      </c>
      <c r="C23" s="6" t="s">
        <v>8</v>
      </c>
      <c r="D23" s="26">
        <v>1</v>
      </c>
      <c r="E23" s="6" t="s">
        <v>11</v>
      </c>
      <c r="F23" s="26"/>
      <c r="G23" s="7">
        <f>+G5+H5</f>
        <v>15</v>
      </c>
      <c r="H23" s="7">
        <v>14</v>
      </c>
      <c r="I23" s="7">
        <v>15</v>
      </c>
      <c r="J23" s="7">
        <v>14</v>
      </c>
      <c r="K23" s="8">
        <v>1</v>
      </c>
    </row>
    <row r="24" spans="2:11" ht="30" customHeight="1" x14ac:dyDescent="0.3">
      <c r="B24" t="s">
        <v>144</v>
      </c>
      <c r="C24" s="6" t="s">
        <v>30</v>
      </c>
      <c r="D24" s="26">
        <v>1</v>
      </c>
      <c r="E24" s="6" t="s">
        <v>11</v>
      </c>
      <c r="F24" s="26"/>
      <c r="G24" s="7">
        <v>15</v>
      </c>
      <c r="H24" s="7">
        <v>9</v>
      </c>
      <c r="I24" s="7">
        <v>15</v>
      </c>
      <c r="J24" s="7">
        <v>9</v>
      </c>
      <c r="K24" s="8">
        <v>1</v>
      </c>
    </row>
    <row r="25" spans="2:11" ht="30" customHeight="1" x14ac:dyDescent="0.3">
      <c r="B25" t="s">
        <v>145</v>
      </c>
      <c r="C25" s="6" t="s">
        <v>32</v>
      </c>
      <c r="D25" s="26">
        <v>2</v>
      </c>
      <c r="E25" s="6" t="s">
        <v>22</v>
      </c>
      <c r="F25" s="26">
        <v>5</v>
      </c>
      <c r="G25" s="7">
        <v>26</v>
      </c>
      <c r="H25" s="7">
        <v>9</v>
      </c>
      <c r="I25" s="7">
        <v>26</v>
      </c>
      <c r="J25" s="7">
        <v>17</v>
      </c>
      <c r="K25" s="8">
        <v>1</v>
      </c>
    </row>
    <row r="26" spans="2:11" ht="30" hidden="1" customHeight="1" outlineLevel="1" x14ac:dyDescent="0.3">
      <c r="B26" t="s">
        <v>146</v>
      </c>
      <c r="C26" s="22" t="s">
        <v>48</v>
      </c>
      <c r="D26" s="27">
        <v>2</v>
      </c>
      <c r="E26" s="6" t="s">
        <v>22</v>
      </c>
      <c r="F26" s="26"/>
      <c r="G26" s="7">
        <v>26</v>
      </c>
      <c r="H26" s="7">
        <v>0.5</v>
      </c>
      <c r="I26" s="7">
        <v>27</v>
      </c>
      <c r="J26" s="7">
        <v>1</v>
      </c>
      <c r="K26" s="8">
        <v>1</v>
      </c>
    </row>
    <row r="27" spans="2:11" ht="30" hidden="1" customHeight="1" outlineLevel="1" x14ac:dyDescent="0.3">
      <c r="B27" t="s">
        <v>147</v>
      </c>
      <c r="C27" s="22" t="s">
        <v>49</v>
      </c>
      <c r="D27" s="27">
        <v>2</v>
      </c>
      <c r="E27" s="6" t="s">
        <v>22</v>
      </c>
      <c r="F27" s="26"/>
      <c r="G27" s="7">
        <v>27</v>
      </c>
      <c r="H27" s="7">
        <v>0.5</v>
      </c>
      <c r="I27" s="7">
        <v>28</v>
      </c>
      <c r="J27" s="7">
        <v>1</v>
      </c>
      <c r="K27" s="8">
        <v>1</v>
      </c>
    </row>
    <row r="28" spans="2:11" ht="30" hidden="1" customHeight="1" outlineLevel="1" x14ac:dyDescent="0.3">
      <c r="B28" t="s">
        <v>148</v>
      </c>
      <c r="C28" s="22" t="s">
        <v>50</v>
      </c>
      <c r="D28" s="27">
        <v>2</v>
      </c>
      <c r="E28" s="6" t="s">
        <v>22</v>
      </c>
      <c r="F28" s="26"/>
      <c r="G28" s="7">
        <v>28</v>
      </c>
      <c r="H28" s="7">
        <v>1</v>
      </c>
      <c r="I28" s="7">
        <v>29</v>
      </c>
      <c r="J28" s="7">
        <v>2</v>
      </c>
      <c r="K28" s="8">
        <v>1</v>
      </c>
    </row>
    <row r="29" spans="2:11" ht="30" hidden="1" customHeight="1" outlineLevel="1" x14ac:dyDescent="0.3">
      <c r="B29" t="s">
        <v>149</v>
      </c>
      <c r="C29" s="22" t="s">
        <v>51</v>
      </c>
      <c r="D29" s="27">
        <v>2</v>
      </c>
      <c r="E29" s="6" t="s">
        <v>22</v>
      </c>
      <c r="F29" s="26"/>
      <c r="G29" s="7">
        <v>29</v>
      </c>
      <c r="H29" s="7">
        <v>1.5</v>
      </c>
      <c r="I29" s="7">
        <v>31</v>
      </c>
      <c r="J29" s="7">
        <v>3</v>
      </c>
      <c r="K29" s="8">
        <v>1</v>
      </c>
    </row>
    <row r="30" spans="2:11" ht="30" hidden="1" customHeight="1" outlineLevel="1" x14ac:dyDescent="0.3">
      <c r="B30" t="s">
        <v>150</v>
      </c>
      <c r="C30" s="22" t="s">
        <v>52</v>
      </c>
      <c r="D30" s="27">
        <v>2</v>
      </c>
      <c r="E30" s="6" t="s">
        <v>22</v>
      </c>
      <c r="F30" s="26"/>
      <c r="G30" s="7">
        <v>30</v>
      </c>
      <c r="H30" s="7">
        <v>1.5</v>
      </c>
      <c r="I30" s="7">
        <v>34</v>
      </c>
      <c r="J30" s="7">
        <v>3</v>
      </c>
      <c r="K30" s="8">
        <v>1</v>
      </c>
    </row>
    <row r="31" spans="2:11" ht="30" hidden="1" customHeight="1" outlineLevel="1" x14ac:dyDescent="0.3">
      <c r="B31" t="s">
        <v>151</v>
      </c>
      <c r="C31" s="22" t="s">
        <v>53</v>
      </c>
      <c r="D31" s="27">
        <v>2</v>
      </c>
      <c r="E31" s="6" t="s">
        <v>22</v>
      </c>
      <c r="F31" s="26"/>
      <c r="G31" s="7">
        <v>31</v>
      </c>
      <c r="H31" s="7">
        <v>0.5</v>
      </c>
      <c r="I31" s="7">
        <v>37</v>
      </c>
      <c r="J31" s="7">
        <v>1</v>
      </c>
      <c r="K31" s="8">
        <v>1</v>
      </c>
    </row>
    <row r="32" spans="2:11" ht="30" hidden="1" customHeight="1" outlineLevel="1" x14ac:dyDescent="0.3">
      <c r="B32" t="s">
        <v>152</v>
      </c>
      <c r="C32" s="22" t="s">
        <v>54</v>
      </c>
      <c r="D32" s="27">
        <v>2</v>
      </c>
      <c r="E32" s="6" t="s">
        <v>22</v>
      </c>
      <c r="F32" s="26"/>
      <c r="G32" s="7">
        <v>32</v>
      </c>
      <c r="H32" s="7">
        <v>1</v>
      </c>
      <c r="I32" s="7">
        <v>38</v>
      </c>
      <c r="J32" s="7">
        <v>2</v>
      </c>
      <c r="K32" s="8">
        <v>1</v>
      </c>
    </row>
    <row r="33" spans="2:11" ht="30" hidden="1" customHeight="1" outlineLevel="1" x14ac:dyDescent="0.3">
      <c r="B33" t="s">
        <v>153</v>
      </c>
      <c r="C33" s="22" t="s">
        <v>55</v>
      </c>
      <c r="D33" s="27">
        <v>2</v>
      </c>
      <c r="E33" s="6" t="s">
        <v>22</v>
      </c>
      <c r="F33" s="26"/>
      <c r="G33" s="7">
        <v>33</v>
      </c>
      <c r="H33" s="7">
        <v>1.5</v>
      </c>
      <c r="I33" s="7">
        <v>40</v>
      </c>
      <c r="J33" s="7">
        <v>3</v>
      </c>
      <c r="K33" s="8">
        <v>1</v>
      </c>
    </row>
    <row r="34" spans="2:11" ht="30" hidden="1" customHeight="1" outlineLevel="1" x14ac:dyDescent="0.3">
      <c r="B34" t="s">
        <v>154</v>
      </c>
      <c r="C34" s="22" t="s">
        <v>56</v>
      </c>
      <c r="D34" s="27">
        <v>2</v>
      </c>
      <c r="E34" s="6" t="s">
        <v>22</v>
      </c>
      <c r="F34" s="26"/>
      <c r="G34" s="7">
        <v>34</v>
      </c>
      <c r="H34" s="7">
        <v>0.5</v>
      </c>
      <c r="I34" s="7">
        <v>42</v>
      </c>
      <c r="J34" s="7">
        <v>1</v>
      </c>
      <c r="K34" s="8">
        <v>1</v>
      </c>
    </row>
    <row r="35" spans="2:11" ht="30" customHeight="1" collapsed="1" x14ac:dyDescent="0.3">
      <c r="B35" t="s">
        <v>155</v>
      </c>
      <c r="C35" s="6" t="s">
        <v>23</v>
      </c>
      <c r="D35" s="26">
        <v>2</v>
      </c>
      <c r="E35" s="6" t="s">
        <v>24</v>
      </c>
      <c r="F35" s="26">
        <v>4</v>
      </c>
      <c r="G35" s="7">
        <v>26</v>
      </c>
      <c r="H35" s="7">
        <v>14</v>
      </c>
      <c r="I35" s="7">
        <v>26</v>
      </c>
      <c r="J35" s="7">
        <v>14</v>
      </c>
      <c r="K35" s="8">
        <v>1</v>
      </c>
    </row>
    <row r="36" spans="2:11" ht="30" hidden="1" customHeight="1" outlineLevel="1" x14ac:dyDescent="0.3">
      <c r="B36" t="s">
        <v>156</v>
      </c>
      <c r="C36" s="22" t="s">
        <v>83</v>
      </c>
      <c r="D36" s="27">
        <v>2</v>
      </c>
      <c r="E36" s="6" t="s">
        <v>24</v>
      </c>
      <c r="F36" s="26"/>
      <c r="G36" s="7">
        <v>26</v>
      </c>
      <c r="H36" s="7">
        <v>7</v>
      </c>
      <c r="I36" s="7">
        <v>26</v>
      </c>
      <c r="J36" s="7">
        <v>8</v>
      </c>
      <c r="K36" s="8">
        <v>1</v>
      </c>
    </row>
    <row r="37" spans="2:11" ht="30" hidden="1" customHeight="1" outlineLevel="1" x14ac:dyDescent="0.3">
      <c r="B37" t="s">
        <v>157</v>
      </c>
      <c r="C37" s="22" t="s">
        <v>84</v>
      </c>
      <c r="D37" s="27">
        <v>2</v>
      </c>
      <c r="E37" s="6" t="s">
        <v>24</v>
      </c>
      <c r="F37" s="26"/>
      <c r="G37" s="7">
        <v>33</v>
      </c>
      <c r="H37" s="7">
        <v>7</v>
      </c>
      <c r="I37" s="7">
        <v>34</v>
      </c>
      <c r="J37" s="7">
        <v>9</v>
      </c>
      <c r="K37" s="8">
        <v>1</v>
      </c>
    </row>
    <row r="38" spans="2:11" ht="30" customHeight="1" collapsed="1" x14ac:dyDescent="0.3">
      <c r="B38" t="s">
        <v>158</v>
      </c>
      <c r="C38" s="6" t="s">
        <v>27</v>
      </c>
      <c r="D38" s="26">
        <v>2</v>
      </c>
      <c r="E38" s="6" t="s">
        <v>26</v>
      </c>
      <c r="F38" s="26">
        <v>2</v>
      </c>
      <c r="G38" s="7">
        <v>36</v>
      </c>
      <c r="H38" s="7">
        <v>4</v>
      </c>
      <c r="I38" s="7">
        <v>36</v>
      </c>
      <c r="J38" s="7">
        <v>4</v>
      </c>
      <c r="K38" s="8">
        <v>1</v>
      </c>
    </row>
    <row r="39" spans="2:11" ht="30" hidden="1" customHeight="1" outlineLevel="1" x14ac:dyDescent="0.3">
      <c r="B39" t="s">
        <v>159</v>
      </c>
      <c r="C39" s="22" t="s">
        <v>79</v>
      </c>
      <c r="D39" s="27">
        <v>2</v>
      </c>
      <c r="E39" s="6" t="s">
        <v>26</v>
      </c>
      <c r="F39" s="26"/>
      <c r="G39" s="7">
        <v>36</v>
      </c>
      <c r="H39" s="7">
        <v>1</v>
      </c>
      <c r="I39" s="7">
        <v>36</v>
      </c>
      <c r="J39" s="7">
        <v>1</v>
      </c>
      <c r="K39" s="8">
        <v>1</v>
      </c>
    </row>
    <row r="40" spans="2:11" ht="30" hidden="1" customHeight="1" outlineLevel="1" x14ac:dyDescent="0.3">
      <c r="B40" t="s">
        <v>160</v>
      </c>
      <c r="C40" s="22" t="s">
        <v>80</v>
      </c>
      <c r="D40" s="27">
        <v>2</v>
      </c>
      <c r="E40" s="6" t="s">
        <v>26</v>
      </c>
      <c r="F40" s="26"/>
      <c r="G40" s="7">
        <v>37</v>
      </c>
      <c r="H40" s="7">
        <v>1</v>
      </c>
      <c r="I40" s="7">
        <v>37</v>
      </c>
      <c r="J40" s="7">
        <v>1</v>
      </c>
      <c r="K40" s="8">
        <v>1</v>
      </c>
    </row>
    <row r="41" spans="2:11" ht="30" hidden="1" customHeight="1" outlineLevel="1" x14ac:dyDescent="0.3">
      <c r="B41" t="s">
        <v>161</v>
      </c>
      <c r="C41" s="22" t="s">
        <v>81</v>
      </c>
      <c r="D41" s="27">
        <v>2</v>
      </c>
      <c r="E41" s="6" t="s">
        <v>26</v>
      </c>
      <c r="F41" s="26"/>
      <c r="G41" s="7">
        <v>38</v>
      </c>
      <c r="H41" s="7">
        <v>1</v>
      </c>
      <c r="I41" s="7">
        <v>38</v>
      </c>
      <c r="J41" s="7">
        <v>1</v>
      </c>
      <c r="K41" s="8">
        <v>1</v>
      </c>
    </row>
    <row r="42" spans="2:11" ht="30" hidden="1" customHeight="1" outlineLevel="1" x14ac:dyDescent="0.3">
      <c r="B42" t="s">
        <v>162</v>
      </c>
      <c r="C42" s="22" t="s">
        <v>82</v>
      </c>
      <c r="D42" s="27">
        <v>2</v>
      </c>
      <c r="E42" s="6" t="s">
        <v>26</v>
      </c>
      <c r="F42" s="26"/>
      <c r="G42" s="7">
        <v>39</v>
      </c>
      <c r="H42" s="7">
        <v>1</v>
      </c>
      <c r="I42" s="7">
        <v>39</v>
      </c>
      <c r="J42" s="7">
        <v>1</v>
      </c>
      <c r="K42" s="8">
        <v>1</v>
      </c>
    </row>
    <row r="43" spans="2:11" ht="30" customHeight="1" collapsed="1" x14ac:dyDescent="0.3">
      <c r="B43" t="s">
        <v>163</v>
      </c>
      <c r="C43" s="6" t="s">
        <v>28</v>
      </c>
      <c r="D43" s="26">
        <v>2</v>
      </c>
      <c r="E43" s="6" t="s">
        <v>113</v>
      </c>
      <c r="F43" s="26">
        <v>3</v>
      </c>
      <c r="G43" s="7">
        <v>28</v>
      </c>
      <c r="H43" s="7">
        <v>9</v>
      </c>
      <c r="I43" s="7">
        <v>28</v>
      </c>
      <c r="J43" s="7">
        <v>12</v>
      </c>
      <c r="K43" s="8">
        <v>1</v>
      </c>
    </row>
    <row r="44" spans="2:11" ht="30" hidden="1" customHeight="1" outlineLevel="1" x14ac:dyDescent="0.3">
      <c r="B44" t="s">
        <v>164</v>
      </c>
      <c r="C44" s="22" t="s">
        <v>48</v>
      </c>
      <c r="D44" s="27">
        <v>2</v>
      </c>
      <c r="E44" s="6" t="s">
        <v>113</v>
      </c>
      <c r="F44" s="26"/>
      <c r="G44" s="7">
        <v>28</v>
      </c>
      <c r="H44" s="7">
        <v>1</v>
      </c>
      <c r="I44" s="7">
        <v>28</v>
      </c>
      <c r="J44" s="7">
        <v>1</v>
      </c>
      <c r="K44" s="8">
        <v>1</v>
      </c>
    </row>
    <row r="45" spans="2:11" ht="30" hidden="1" customHeight="1" outlineLevel="1" x14ac:dyDescent="0.3">
      <c r="B45" t="s">
        <v>165</v>
      </c>
      <c r="C45" s="22" t="s">
        <v>85</v>
      </c>
      <c r="D45" s="27">
        <v>2</v>
      </c>
      <c r="E45" s="6" t="s">
        <v>113</v>
      </c>
      <c r="F45" s="26"/>
      <c r="G45" s="7">
        <v>29</v>
      </c>
      <c r="H45" s="7">
        <v>1</v>
      </c>
      <c r="I45" s="7">
        <v>29</v>
      </c>
      <c r="J45" s="7">
        <v>2</v>
      </c>
      <c r="K45" s="8">
        <v>1</v>
      </c>
    </row>
    <row r="46" spans="2:11" ht="30" hidden="1" customHeight="1" outlineLevel="1" x14ac:dyDescent="0.3">
      <c r="B46" t="s">
        <v>166</v>
      </c>
      <c r="C46" s="22" t="s">
        <v>86</v>
      </c>
      <c r="D46" s="27">
        <v>2</v>
      </c>
      <c r="E46" s="6" t="s">
        <v>113</v>
      </c>
      <c r="F46" s="26"/>
      <c r="G46" s="7">
        <v>30</v>
      </c>
      <c r="H46" s="7">
        <v>2</v>
      </c>
      <c r="I46" s="7">
        <v>31</v>
      </c>
      <c r="J46" s="7">
        <v>2</v>
      </c>
      <c r="K46" s="8">
        <v>1</v>
      </c>
    </row>
    <row r="47" spans="2:11" ht="30" hidden="1" customHeight="1" outlineLevel="1" x14ac:dyDescent="0.3">
      <c r="B47" t="s">
        <v>167</v>
      </c>
      <c r="C47" s="22" t="s">
        <v>87</v>
      </c>
      <c r="D47" s="27">
        <v>2</v>
      </c>
      <c r="E47" s="6" t="s">
        <v>113</v>
      </c>
      <c r="F47" s="26"/>
      <c r="G47" s="7">
        <v>32</v>
      </c>
      <c r="H47" s="7">
        <v>1</v>
      </c>
      <c r="I47" s="7">
        <v>33</v>
      </c>
      <c r="J47" s="7">
        <v>1</v>
      </c>
      <c r="K47" s="8">
        <v>1</v>
      </c>
    </row>
    <row r="48" spans="2:11" ht="30" hidden="1" customHeight="1" outlineLevel="1" x14ac:dyDescent="0.3">
      <c r="B48" t="s">
        <v>168</v>
      </c>
      <c r="C48" s="22" t="s">
        <v>88</v>
      </c>
      <c r="D48" s="27">
        <v>2</v>
      </c>
      <c r="E48" s="6" t="s">
        <v>113</v>
      </c>
      <c r="F48" s="26"/>
      <c r="G48" s="7">
        <v>33</v>
      </c>
      <c r="H48" s="7">
        <v>1</v>
      </c>
      <c r="I48" s="7">
        <v>34</v>
      </c>
      <c r="J48" s="7">
        <v>2</v>
      </c>
      <c r="K48" s="8">
        <v>1</v>
      </c>
    </row>
    <row r="49" spans="2:11" ht="30" hidden="1" customHeight="1" outlineLevel="1" x14ac:dyDescent="0.3">
      <c r="B49" t="s">
        <v>169</v>
      </c>
      <c r="C49" s="22" t="s">
        <v>89</v>
      </c>
      <c r="D49" s="27">
        <v>2</v>
      </c>
      <c r="E49" s="6" t="s">
        <v>113</v>
      </c>
      <c r="F49" s="26"/>
      <c r="G49" s="7">
        <v>34</v>
      </c>
      <c r="H49" s="7">
        <v>2</v>
      </c>
      <c r="I49" s="7">
        <v>36</v>
      </c>
      <c r="J49" s="7">
        <v>2</v>
      </c>
      <c r="K49" s="8">
        <v>1</v>
      </c>
    </row>
    <row r="50" spans="2:11" ht="30" hidden="1" customHeight="1" outlineLevel="1" x14ac:dyDescent="0.3">
      <c r="B50" t="s">
        <v>170</v>
      </c>
      <c r="C50" s="22" t="s">
        <v>90</v>
      </c>
      <c r="D50" s="27">
        <v>2</v>
      </c>
      <c r="E50" s="6" t="s">
        <v>113</v>
      </c>
      <c r="F50" s="26"/>
      <c r="G50" s="7">
        <v>36</v>
      </c>
      <c r="H50" s="7">
        <v>1</v>
      </c>
      <c r="I50" s="7">
        <v>38</v>
      </c>
      <c r="J50" s="7">
        <v>2</v>
      </c>
      <c r="K50" s="8">
        <v>1</v>
      </c>
    </row>
    <row r="51" spans="2:11" ht="30" customHeight="1" collapsed="1" x14ac:dyDescent="0.3">
      <c r="B51" t="s">
        <v>171</v>
      </c>
      <c r="C51" s="6" t="s">
        <v>29</v>
      </c>
      <c r="D51" s="26">
        <v>2</v>
      </c>
      <c r="E51" s="6" t="s">
        <v>25</v>
      </c>
      <c r="F51" s="26">
        <v>3</v>
      </c>
      <c r="G51" s="7">
        <v>36</v>
      </c>
      <c r="H51" s="7">
        <v>9</v>
      </c>
      <c r="I51" s="7">
        <v>36</v>
      </c>
      <c r="J51" s="7">
        <v>7</v>
      </c>
      <c r="K51" s="8">
        <v>1</v>
      </c>
    </row>
    <row r="52" spans="2:11" ht="30" hidden="1" customHeight="1" outlineLevel="1" x14ac:dyDescent="0.3">
      <c r="B52" t="s">
        <v>172</v>
      </c>
      <c r="C52" s="22" t="s">
        <v>57</v>
      </c>
      <c r="D52" s="27">
        <v>2</v>
      </c>
      <c r="E52" s="6" t="s">
        <v>25</v>
      </c>
      <c r="F52" s="26"/>
      <c r="G52" s="7">
        <v>36</v>
      </c>
      <c r="H52" s="7">
        <v>2</v>
      </c>
      <c r="I52" s="7">
        <v>36</v>
      </c>
      <c r="J52" s="7">
        <v>2</v>
      </c>
      <c r="K52" s="8">
        <v>1</v>
      </c>
    </row>
    <row r="53" spans="2:11" ht="30" hidden="1" customHeight="1" outlineLevel="1" x14ac:dyDescent="0.3">
      <c r="B53" t="s">
        <v>173</v>
      </c>
      <c r="C53" s="22" t="s">
        <v>58</v>
      </c>
      <c r="D53" s="27">
        <v>2</v>
      </c>
      <c r="E53" s="6" t="s">
        <v>25</v>
      </c>
      <c r="F53" s="26"/>
      <c r="G53" s="7">
        <v>38</v>
      </c>
      <c r="H53" s="7">
        <v>1</v>
      </c>
      <c r="I53" s="7">
        <v>38</v>
      </c>
      <c r="J53" s="7">
        <v>1</v>
      </c>
      <c r="K53" s="8">
        <v>1</v>
      </c>
    </row>
    <row r="54" spans="2:11" ht="30" hidden="1" customHeight="1" outlineLevel="1" x14ac:dyDescent="0.3">
      <c r="B54" t="s">
        <v>174</v>
      </c>
      <c r="C54" s="22" t="s">
        <v>59</v>
      </c>
      <c r="D54" s="27">
        <v>2</v>
      </c>
      <c r="E54" s="6" t="s">
        <v>25</v>
      </c>
      <c r="F54" s="26"/>
      <c r="G54" s="7">
        <v>39</v>
      </c>
      <c r="H54" s="7">
        <v>2</v>
      </c>
      <c r="I54" s="7">
        <v>39</v>
      </c>
      <c r="J54" s="7">
        <v>2</v>
      </c>
      <c r="K54" s="8">
        <v>1</v>
      </c>
    </row>
    <row r="55" spans="2:11" ht="30" hidden="1" customHeight="1" outlineLevel="1" x14ac:dyDescent="0.3">
      <c r="B55" t="s">
        <v>175</v>
      </c>
      <c r="C55" s="22" t="s">
        <v>60</v>
      </c>
      <c r="D55" s="27">
        <v>2</v>
      </c>
      <c r="E55" s="6" t="s">
        <v>25</v>
      </c>
      <c r="F55" s="26"/>
      <c r="G55" s="7">
        <v>41</v>
      </c>
      <c r="H55" s="7">
        <v>2</v>
      </c>
      <c r="I55" s="7">
        <v>41</v>
      </c>
      <c r="J55" s="7">
        <v>1</v>
      </c>
      <c r="K55" s="8">
        <v>1</v>
      </c>
    </row>
    <row r="56" spans="2:11" ht="30" hidden="1" customHeight="1" outlineLevel="1" x14ac:dyDescent="0.3">
      <c r="B56" t="s">
        <v>176</v>
      </c>
      <c r="C56" s="22" t="s">
        <v>61</v>
      </c>
      <c r="D56" s="27">
        <v>2</v>
      </c>
      <c r="E56" s="6" t="s">
        <v>25</v>
      </c>
      <c r="F56" s="26"/>
      <c r="G56" s="7">
        <v>43</v>
      </c>
      <c r="H56" s="7">
        <v>2</v>
      </c>
      <c r="I56" s="7">
        <v>42</v>
      </c>
      <c r="J56" s="7">
        <v>1</v>
      </c>
      <c r="K56" s="8">
        <v>1</v>
      </c>
    </row>
    <row r="57" spans="2:11" ht="30" customHeight="1" collapsed="1" x14ac:dyDescent="0.3">
      <c r="B57">
        <v>3</v>
      </c>
      <c r="C57" s="6" t="s">
        <v>9</v>
      </c>
      <c r="D57" s="26">
        <v>2</v>
      </c>
      <c r="E57" s="6" t="s">
        <v>11</v>
      </c>
      <c r="F57" s="26"/>
      <c r="G57" s="7">
        <v>37</v>
      </c>
      <c r="H57" s="7">
        <v>6</v>
      </c>
      <c r="I57" s="7">
        <v>37</v>
      </c>
      <c r="J57" s="7">
        <v>6</v>
      </c>
      <c r="K57" s="8">
        <v>1</v>
      </c>
    </row>
    <row r="58" spans="2:11" ht="30" customHeight="1" x14ac:dyDescent="0.3">
      <c r="B58" t="s">
        <v>177</v>
      </c>
      <c r="C58" s="6" t="s">
        <v>98</v>
      </c>
      <c r="D58" s="26">
        <v>2</v>
      </c>
      <c r="E58" s="6" t="s">
        <v>11</v>
      </c>
      <c r="F58" s="26">
        <v>2</v>
      </c>
      <c r="G58" s="7">
        <v>37</v>
      </c>
      <c r="H58" s="7">
        <v>3</v>
      </c>
      <c r="I58" s="7">
        <v>37</v>
      </c>
      <c r="J58" s="7">
        <v>3</v>
      </c>
      <c r="K58" s="8">
        <v>1</v>
      </c>
    </row>
    <row r="59" spans="2:11" ht="30" hidden="1" customHeight="1" outlineLevel="1" x14ac:dyDescent="0.3">
      <c r="B59" t="s">
        <v>178</v>
      </c>
      <c r="C59" s="22" t="s">
        <v>99</v>
      </c>
      <c r="D59" s="27"/>
      <c r="E59" s="6" t="s">
        <v>11</v>
      </c>
      <c r="F59" s="26"/>
      <c r="G59" s="7">
        <v>37</v>
      </c>
      <c r="H59" s="7">
        <v>3</v>
      </c>
      <c r="I59" s="7">
        <v>37</v>
      </c>
      <c r="J59" s="7">
        <v>3</v>
      </c>
      <c r="K59" s="8">
        <v>1</v>
      </c>
    </row>
    <row r="60" spans="2:11" ht="30" hidden="1" customHeight="1" outlineLevel="1" x14ac:dyDescent="0.3">
      <c r="B60" t="s">
        <v>179</v>
      </c>
      <c r="C60" s="22" t="s">
        <v>100</v>
      </c>
      <c r="D60" s="27"/>
      <c r="E60" s="6" t="s">
        <v>11</v>
      </c>
      <c r="F60" s="26"/>
      <c r="G60" s="7">
        <v>37</v>
      </c>
      <c r="H60" s="7">
        <v>3</v>
      </c>
      <c r="I60" s="7">
        <v>37</v>
      </c>
      <c r="J60" s="7">
        <v>3</v>
      </c>
      <c r="K60" s="8">
        <v>1</v>
      </c>
    </row>
    <row r="61" spans="2:11" ht="30" hidden="1" customHeight="1" outlineLevel="1" x14ac:dyDescent="0.3">
      <c r="B61" t="s">
        <v>180</v>
      </c>
      <c r="C61" s="22" t="s">
        <v>101</v>
      </c>
      <c r="D61" s="27"/>
      <c r="E61" s="6" t="s">
        <v>11</v>
      </c>
      <c r="F61" s="26"/>
      <c r="G61" s="7">
        <v>37</v>
      </c>
      <c r="H61" s="7">
        <v>3</v>
      </c>
      <c r="I61" s="7">
        <v>37</v>
      </c>
      <c r="J61" s="7">
        <v>3</v>
      </c>
      <c r="K61" s="8">
        <v>1</v>
      </c>
    </row>
    <row r="62" spans="2:11" ht="30" hidden="1" customHeight="1" outlineLevel="1" x14ac:dyDescent="0.3">
      <c r="B62" t="s">
        <v>181</v>
      </c>
      <c r="C62" s="22" t="s">
        <v>102</v>
      </c>
      <c r="D62" s="27"/>
      <c r="E62" s="6" t="s">
        <v>11</v>
      </c>
      <c r="F62" s="26"/>
      <c r="G62" s="7">
        <v>37</v>
      </c>
      <c r="H62" s="7">
        <v>3</v>
      </c>
      <c r="I62" s="7">
        <v>37</v>
      </c>
      <c r="J62" s="7">
        <v>3</v>
      </c>
      <c r="K62" s="8">
        <v>1</v>
      </c>
    </row>
    <row r="63" spans="2:11" ht="30" hidden="1" customHeight="1" outlineLevel="1" x14ac:dyDescent="0.3">
      <c r="B63" t="s">
        <v>182</v>
      </c>
      <c r="C63" s="22" t="s">
        <v>103</v>
      </c>
      <c r="D63" s="27"/>
      <c r="E63" s="6" t="s">
        <v>11</v>
      </c>
      <c r="F63" s="26"/>
      <c r="G63" s="7">
        <v>37</v>
      </c>
      <c r="H63" s="7">
        <v>3</v>
      </c>
      <c r="I63" s="7">
        <v>37</v>
      </c>
      <c r="J63" s="7">
        <v>3</v>
      </c>
      <c r="K63" s="8">
        <v>1</v>
      </c>
    </row>
    <row r="64" spans="2:11" ht="30" customHeight="1" collapsed="1" x14ac:dyDescent="0.3">
      <c r="B64" t="s">
        <v>183</v>
      </c>
      <c r="C64" s="6" t="s">
        <v>104</v>
      </c>
      <c r="D64" s="26">
        <v>2</v>
      </c>
      <c r="E64" s="6" t="s">
        <v>11</v>
      </c>
      <c r="F64" s="26">
        <v>1</v>
      </c>
      <c r="G64" s="7">
        <v>40</v>
      </c>
      <c r="H64" s="7">
        <v>3</v>
      </c>
      <c r="I64" s="7">
        <v>40</v>
      </c>
      <c r="J64" s="7">
        <v>3</v>
      </c>
      <c r="K64" s="8">
        <v>1</v>
      </c>
    </row>
    <row r="65" spans="2:11" ht="30" hidden="1" customHeight="1" outlineLevel="1" x14ac:dyDescent="0.3">
      <c r="B65" t="s">
        <v>184</v>
      </c>
      <c r="C65" s="22" t="s">
        <v>99</v>
      </c>
      <c r="D65" s="27"/>
      <c r="E65" s="6" t="s">
        <v>11</v>
      </c>
      <c r="F65" s="26"/>
      <c r="G65" s="7">
        <v>40</v>
      </c>
      <c r="H65" s="7">
        <v>3</v>
      </c>
      <c r="I65" s="7">
        <v>40</v>
      </c>
      <c r="J65" s="7">
        <v>3</v>
      </c>
      <c r="K65" s="8">
        <v>1</v>
      </c>
    </row>
    <row r="66" spans="2:11" ht="30" hidden="1" customHeight="1" outlineLevel="1" x14ac:dyDescent="0.3">
      <c r="B66" t="s">
        <v>185</v>
      </c>
      <c r="C66" s="22" t="s">
        <v>100</v>
      </c>
      <c r="D66" s="27"/>
      <c r="E66" s="6" t="s">
        <v>11</v>
      </c>
      <c r="F66" s="26"/>
      <c r="G66" s="7">
        <v>40</v>
      </c>
      <c r="H66" s="7">
        <v>3</v>
      </c>
      <c r="I66" s="7">
        <v>40</v>
      </c>
      <c r="J66" s="7">
        <v>3</v>
      </c>
      <c r="K66" s="8">
        <v>1</v>
      </c>
    </row>
    <row r="67" spans="2:11" ht="30" hidden="1" customHeight="1" outlineLevel="1" x14ac:dyDescent="0.3">
      <c r="B67" t="s">
        <v>186</v>
      </c>
      <c r="C67" s="22" t="s">
        <v>101</v>
      </c>
      <c r="D67" s="27"/>
      <c r="E67" s="6" t="s">
        <v>11</v>
      </c>
      <c r="F67" s="26"/>
      <c r="G67" s="7">
        <v>40</v>
      </c>
      <c r="H67" s="7">
        <v>3</v>
      </c>
      <c r="I67" s="7">
        <v>40</v>
      </c>
      <c r="J67" s="7">
        <v>3</v>
      </c>
      <c r="K67" s="8">
        <v>1</v>
      </c>
    </row>
    <row r="68" spans="2:11" ht="30" hidden="1" customHeight="1" outlineLevel="1" x14ac:dyDescent="0.3">
      <c r="B68" t="s">
        <v>187</v>
      </c>
      <c r="C68" s="22" t="s">
        <v>102</v>
      </c>
      <c r="D68" s="27"/>
      <c r="E68" s="6" t="s">
        <v>11</v>
      </c>
      <c r="F68" s="26"/>
      <c r="G68" s="7">
        <v>40</v>
      </c>
      <c r="H68" s="7">
        <v>3</v>
      </c>
      <c r="I68" s="7">
        <v>40</v>
      </c>
      <c r="J68" s="7">
        <v>3</v>
      </c>
      <c r="K68" s="8">
        <v>1</v>
      </c>
    </row>
    <row r="69" spans="2:11" ht="30" hidden="1" customHeight="1" outlineLevel="1" x14ac:dyDescent="0.3">
      <c r="B69" t="s">
        <v>188</v>
      </c>
      <c r="C69" s="22" t="s">
        <v>103</v>
      </c>
      <c r="D69" s="27"/>
      <c r="E69" s="6" t="s">
        <v>11</v>
      </c>
      <c r="F69" s="26"/>
      <c r="G69" s="7">
        <v>40</v>
      </c>
      <c r="H69" s="7">
        <v>3</v>
      </c>
      <c r="I69" s="7">
        <v>40</v>
      </c>
      <c r="J69" s="7">
        <v>3</v>
      </c>
      <c r="K69" s="8">
        <v>1</v>
      </c>
    </row>
    <row r="70" spans="2:11" ht="30" customHeight="1" collapsed="1" x14ac:dyDescent="0.3">
      <c r="B70">
        <v>4</v>
      </c>
      <c r="C70" s="6" t="s">
        <v>31</v>
      </c>
      <c r="D70" s="26">
        <v>3</v>
      </c>
      <c r="E70" s="6" t="s">
        <v>11</v>
      </c>
      <c r="F70" s="26"/>
      <c r="G70" s="7">
        <v>39</v>
      </c>
      <c r="H70" s="7">
        <v>46</v>
      </c>
      <c r="I70" s="7">
        <v>39</v>
      </c>
      <c r="J70" s="7">
        <v>46</v>
      </c>
      <c r="K70" s="8">
        <v>1</v>
      </c>
    </row>
    <row r="71" spans="2:11" ht="30" customHeight="1" x14ac:dyDescent="0.3">
      <c r="B71" t="s">
        <v>189</v>
      </c>
      <c r="C71" s="6" t="s">
        <v>92</v>
      </c>
      <c r="D71" s="26">
        <v>3</v>
      </c>
      <c r="E71" s="6" t="s">
        <v>93</v>
      </c>
      <c r="F71" s="26">
        <v>3</v>
      </c>
      <c r="G71" s="7">
        <v>39</v>
      </c>
      <c r="H71" s="7">
        <v>7</v>
      </c>
      <c r="I71" s="7">
        <v>39</v>
      </c>
      <c r="J71" s="7">
        <v>37</v>
      </c>
      <c r="K71" s="8">
        <v>1</v>
      </c>
    </row>
    <row r="72" spans="2:11" ht="30" hidden="1" customHeight="1" outlineLevel="1" x14ac:dyDescent="0.3">
      <c r="B72" t="s">
        <v>190</v>
      </c>
      <c r="C72" s="22" t="s">
        <v>105</v>
      </c>
      <c r="D72" s="27">
        <v>3</v>
      </c>
      <c r="E72" s="6" t="s">
        <v>93</v>
      </c>
      <c r="F72" s="26"/>
      <c r="G72" s="7">
        <v>39</v>
      </c>
      <c r="H72" s="7">
        <v>0.5</v>
      </c>
      <c r="I72" s="7">
        <v>39</v>
      </c>
      <c r="J72" s="7">
        <v>6</v>
      </c>
      <c r="K72" s="8">
        <v>1</v>
      </c>
    </row>
    <row r="73" spans="2:11" ht="30" hidden="1" customHeight="1" outlineLevel="1" x14ac:dyDescent="0.3">
      <c r="B73" t="s">
        <v>191</v>
      </c>
      <c r="C73" s="22" t="s">
        <v>106</v>
      </c>
      <c r="D73" s="27">
        <v>3</v>
      </c>
      <c r="E73" s="6" t="s">
        <v>93</v>
      </c>
      <c r="F73" s="26"/>
      <c r="G73" s="7">
        <v>39</v>
      </c>
      <c r="H73" s="7">
        <v>0.5</v>
      </c>
      <c r="I73" s="7">
        <v>45</v>
      </c>
      <c r="J73" s="7">
        <v>6</v>
      </c>
      <c r="K73" s="8">
        <v>1</v>
      </c>
    </row>
    <row r="74" spans="2:11" ht="30" hidden="1" customHeight="1" outlineLevel="1" x14ac:dyDescent="0.3">
      <c r="B74" t="s">
        <v>192</v>
      </c>
      <c r="C74" s="22" t="s">
        <v>107</v>
      </c>
      <c r="D74" s="27">
        <v>3</v>
      </c>
      <c r="E74" s="6" t="s">
        <v>93</v>
      </c>
      <c r="F74" s="26"/>
      <c r="G74" s="7">
        <v>40</v>
      </c>
      <c r="H74" s="7">
        <v>1</v>
      </c>
      <c r="I74" s="7">
        <v>51</v>
      </c>
      <c r="J74" s="7">
        <v>6</v>
      </c>
      <c r="K74" s="8">
        <v>1</v>
      </c>
    </row>
    <row r="75" spans="2:11" ht="30" hidden="1" customHeight="1" outlineLevel="1" x14ac:dyDescent="0.3">
      <c r="B75" t="s">
        <v>228</v>
      </c>
      <c r="C75" s="22" t="s">
        <v>108</v>
      </c>
      <c r="D75" s="27">
        <v>3</v>
      </c>
      <c r="E75" s="6" t="s">
        <v>93</v>
      </c>
      <c r="F75" s="26"/>
      <c r="G75" s="7">
        <v>41</v>
      </c>
      <c r="H75" s="7">
        <v>1</v>
      </c>
      <c r="I75" s="7">
        <v>57</v>
      </c>
      <c r="J75" s="7">
        <v>6</v>
      </c>
      <c r="K75" s="8">
        <v>1</v>
      </c>
    </row>
    <row r="76" spans="2:11" ht="30" hidden="1" customHeight="1" outlineLevel="1" x14ac:dyDescent="0.3">
      <c r="B76" t="s">
        <v>229</v>
      </c>
      <c r="C76" s="22" t="s">
        <v>109</v>
      </c>
      <c r="D76" s="27">
        <v>3</v>
      </c>
      <c r="E76" s="6" t="s">
        <v>93</v>
      </c>
      <c r="F76" s="26"/>
      <c r="G76" s="7">
        <v>42</v>
      </c>
      <c r="H76" s="7">
        <v>2</v>
      </c>
      <c r="I76" s="7">
        <v>63</v>
      </c>
      <c r="J76" s="7">
        <v>6</v>
      </c>
      <c r="K76" s="8">
        <v>1</v>
      </c>
    </row>
    <row r="77" spans="2:11" ht="30" hidden="1" customHeight="1" outlineLevel="1" x14ac:dyDescent="0.3">
      <c r="B77" t="s">
        <v>230</v>
      </c>
      <c r="C77" s="22" t="s">
        <v>110</v>
      </c>
      <c r="D77" s="27">
        <v>3</v>
      </c>
      <c r="E77" s="6" t="s">
        <v>93</v>
      </c>
      <c r="F77" s="26"/>
      <c r="G77" s="7">
        <v>44</v>
      </c>
      <c r="H77" s="7">
        <v>2</v>
      </c>
      <c r="I77" s="7">
        <v>69</v>
      </c>
      <c r="J77" s="7">
        <v>7</v>
      </c>
      <c r="K77" s="8">
        <v>1</v>
      </c>
    </row>
    <row r="78" spans="2:11" ht="30" customHeight="1" collapsed="1" x14ac:dyDescent="0.3">
      <c r="B78" t="s">
        <v>193</v>
      </c>
      <c r="C78" s="6" t="s">
        <v>95</v>
      </c>
      <c r="D78" s="26">
        <v>3</v>
      </c>
      <c r="E78" s="6" t="s">
        <v>24</v>
      </c>
      <c r="F78" s="26">
        <v>5</v>
      </c>
      <c r="G78" s="7">
        <v>41</v>
      </c>
      <c r="H78" s="7">
        <v>5</v>
      </c>
      <c r="I78" s="7">
        <v>41</v>
      </c>
      <c r="J78" s="7">
        <v>5</v>
      </c>
      <c r="K78" s="8">
        <v>1</v>
      </c>
    </row>
    <row r="79" spans="2:11" ht="30" customHeight="1" x14ac:dyDescent="0.3">
      <c r="B79" t="s">
        <v>194</v>
      </c>
      <c r="C79" s="6" t="s">
        <v>96</v>
      </c>
      <c r="D79" s="26">
        <v>3</v>
      </c>
      <c r="E79" s="6" t="s">
        <v>26</v>
      </c>
      <c r="F79" s="26">
        <v>3</v>
      </c>
      <c r="G79" s="7">
        <v>41</v>
      </c>
      <c r="H79" s="7">
        <v>6</v>
      </c>
      <c r="I79" s="7">
        <v>55</v>
      </c>
      <c r="J79" s="7">
        <v>6</v>
      </c>
      <c r="K79" s="8">
        <v>1</v>
      </c>
    </row>
    <row r="80" spans="2:11" ht="30" customHeight="1" x14ac:dyDescent="0.3">
      <c r="B80" t="s">
        <v>195</v>
      </c>
      <c r="C80" s="6" t="s">
        <v>97</v>
      </c>
      <c r="D80" s="26">
        <v>3</v>
      </c>
      <c r="E80" s="6" t="s">
        <v>25</v>
      </c>
      <c r="F80" s="26">
        <v>5</v>
      </c>
      <c r="G80" s="7">
        <v>45</v>
      </c>
      <c r="H80" s="7">
        <v>4</v>
      </c>
      <c r="I80" s="7">
        <v>59</v>
      </c>
      <c r="J80" s="7">
        <v>26</v>
      </c>
      <c r="K80" s="8">
        <v>1</v>
      </c>
    </row>
    <row r="81" spans="2:11" ht="30" hidden="1" customHeight="1" outlineLevel="1" x14ac:dyDescent="0.3">
      <c r="B81" t="s">
        <v>231</v>
      </c>
      <c r="C81" s="22" t="s">
        <v>120</v>
      </c>
      <c r="D81" s="26">
        <v>3</v>
      </c>
      <c r="E81" s="6" t="s">
        <v>25</v>
      </c>
      <c r="F81" s="26"/>
      <c r="G81" s="7">
        <v>45</v>
      </c>
      <c r="H81" s="7">
        <v>1</v>
      </c>
      <c r="I81" s="7">
        <v>59</v>
      </c>
      <c r="J81" s="7">
        <v>9</v>
      </c>
      <c r="K81" s="8">
        <v>1</v>
      </c>
    </row>
    <row r="82" spans="2:11" ht="30" hidden="1" customHeight="1" outlineLevel="1" x14ac:dyDescent="0.3">
      <c r="B82" t="s">
        <v>232</v>
      </c>
      <c r="C82" s="22" t="s">
        <v>121</v>
      </c>
      <c r="D82" s="26">
        <v>3</v>
      </c>
      <c r="E82" s="6" t="s">
        <v>25</v>
      </c>
      <c r="F82" s="26"/>
      <c r="G82" s="7">
        <v>46</v>
      </c>
      <c r="H82" s="7">
        <v>1</v>
      </c>
      <c r="I82" s="7">
        <v>68</v>
      </c>
      <c r="J82" s="7">
        <v>9</v>
      </c>
      <c r="K82" s="8">
        <v>1</v>
      </c>
    </row>
    <row r="83" spans="2:11" ht="30" hidden="1" customHeight="1" outlineLevel="1" x14ac:dyDescent="0.3">
      <c r="B83" t="s">
        <v>233</v>
      </c>
      <c r="C83" s="22" t="s">
        <v>122</v>
      </c>
      <c r="D83" s="26">
        <v>3</v>
      </c>
      <c r="E83" s="6" t="s">
        <v>25</v>
      </c>
      <c r="F83" s="26"/>
      <c r="G83" s="7">
        <v>47</v>
      </c>
      <c r="H83" s="7">
        <v>2</v>
      </c>
      <c r="I83" s="7">
        <v>77</v>
      </c>
      <c r="J83" s="7">
        <v>8</v>
      </c>
      <c r="K83" s="8">
        <v>1</v>
      </c>
    </row>
    <row r="84" spans="2:11" ht="30" customHeight="1" collapsed="1" x14ac:dyDescent="0.3">
      <c r="B84" t="s">
        <v>196</v>
      </c>
      <c r="C84" s="6" t="s">
        <v>111</v>
      </c>
      <c r="D84" s="26">
        <v>3</v>
      </c>
      <c r="E84" s="6" t="s">
        <v>25</v>
      </c>
      <c r="F84" s="26">
        <v>5</v>
      </c>
      <c r="G84" s="7">
        <v>47</v>
      </c>
      <c r="H84" s="7">
        <v>16</v>
      </c>
      <c r="I84" s="7">
        <v>61</v>
      </c>
      <c r="J84" s="7">
        <v>24</v>
      </c>
      <c r="K84" s="8">
        <v>1</v>
      </c>
    </row>
    <row r="85" spans="2:11" ht="30" customHeight="1" x14ac:dyDescent="0.3">
      <c r="B85" t="s">
        <v>197</v>
      </c>
      <c r="C85" s="6" t="s">
        <v>123</v>
      </c>
      <c r="D85" s="26">
        <v>3</v>
      </c>
      <c r="E85" s="6" t="s">
        <v>125</v>
      </c>
      <c r="F85" s="26">
        <v>2</v>
      </c>
      <c r="G85" s="7">
        <v>57</v>
      </c>
      <c r="H85" s="7">
        <v>3</v>
      </c>
      <c r="I85" s="7">
        <v>57</v>
      </c>
      <c r="J85" s="7">
        <v>10</v>
      </c>
      <c r="K85" s="8">
        <v>1</v>
      </c>
    </row>
    <row r="86" spans="2:11" ht="30" customHeight="1" x14ac:dyDescent="0.3">
      <c r="B86" t="s">
        <v>198</v>
      </c>
      <c r="C86" s="6" t="s">
        <v>124</v>
      </c>
      <c r="D86" s="26">
        <v>3</v>
      </c>
      <c r="E86" s="6" t="s">
        <v>24</v>
      </c>
      <c r="F86" s="26">
        <v>2</v>
      </c>
      <c r="G86" s="7">
        <v>57</v>
      </c>
      <c r="H86" s="7">
        <v>3</v>
      </c>
      <c r="I86" s="7">
        <v>57</v>
      </c>
      <c r="J86" s="7">
        <v>10</v>
      </c>
      <c r="K86" s="8">
        <v>1</v>
      </c>
    </row>
    <row r="87" spans="2:11" ht="30" customHeight="1" collapsed="1" x14ac:dyDescent="0.3">
      <c r="B87" t="s">
        <v>199</v>
      </c>
      <c r="C87" s="6" t="s">
        <v>206</v>
      </c>
      <c r="D87" s="26">
        <v>3</v>
      </c>
      <c r="E87" s="6" t="s">
        <v>22</v>
      </c>
      <c r="F87" s="26">
        <v>5</v>
      </c>
      <c r="G87" s="7">
        <v>63</v>
      </c>
      <c r="H87" s="7">
        <v>1</v>
      </c>
      <c r="I87" s="7">
        <v>67</v>
      </c>
      <c r="J87" s="7">
        <v>7</v>
      </c>
      <c r="K87" s="8">
        <v>1</v>
      </c>
    </row>
    <row r="88" spans="2:11" ht="30" customHeight="1" x14ac:dyDescent="0.3">
      <c r="B88" t="s">
        <v>200</v>
      </c>
      <c r="C88" s="6" t="s">
        <v>207</v>
      </c>
      <c r="D88" s="26">
        <v>4</v>
      </c>
      <c r="E88" s="6" t="s">
        <v>24</v>
      </c>
      <c r="F88" s="26">
        <v>7</v>
      </c>
      <c r="G88" s="7">
        <v>58</v>
      </c>
      <c r="H88" s="7">
        <v>15</v>
      </c>
      <c r="I88" s="7">
        <v>58</v>
      </c>
      <c r="J88" s="7">
        <v>27</v>
      </c>
      <c r="K88" s="8">
        <v>1</v>
      </c>
    </row>
    <row r="89" spans="2:11" ht="30" hidden="1" customHeight="1" outlineLevel="1" x14ac:dyDescent="0.3">
      <c r="B89" t="s">
        <v>234</v>
      </c>
      <c r="C89" s="22" t="s">
        <v>208</v>
      </c>
      <c r="D89" s="26">
        <v>4</v>
      </c>
      <c r="E89" s="6" t="s">
        <v>24</v>
      </c>
      <c r="F89" s="26"/>
      <c r="G89" s="7">
        <v>58</v>
      </c>
      <c r="H89" s="7">
        <v>4</v>
      </c>
      <c r="I89" s="7">
        <v>58</v>
      </c>
      <c r="J89" s="7">
        <v>5</v>
      </c>
      <c r="K89" s="8">
        <v>1</v>
      </c>
    </row>
    <row r="90" spans="2:11" ht="30" hidden="1" customHeight="1" outlineLevel="1" x14ac:dyDescent="0.3">
      <c r="B90" t="s">
        <v>235</v>
      </c>
      <c r="C90" s="22" t="s">
        <v>209</v>
      </c>
      <c r="D90" s="26">
        <v>4</v>
      </c>
      <c r="E90" s="6" t="s">
        <v>24</v>
      </c>
      <c r="F90" s="26"/>
      <c r="G90" s="7">
        <v>62</v>
      </c>
      <c r="H90" s="7">
        <v>3</v>
      </c>
      <c r="I90" s="7">
        <v>63</v>
      </c>
      <c r="J90" s="7">
        <v>5</v>
      </c>
      <c r="K90" s="8">
        <v>1</v>
      </c>
    </row>
    <row r="91" spans="2:11" ht="30" hidden="1" customHeight="1" outlineLevel="1" x14ac:dyDescent="0.3">
      <c r="B91" t="s">
        <v>236</v>
      </c>
      <c r="C91" s="22" t="s">
        <v>210</v>
      </c>
      <c r="D91" s="26">
        <v>4</v>
      </c>
      <c r="E91" s="6" t="s">
        <v>24</v>
      </c>
      <c r="F91" s="26"/>
      <c r="G91" s="7">
        <v>65</v>
      </c>
      <c r="H91" s="7">
        <v>2</v>
      </c>
      <c r="I91" s="7">
        <v>68</v>
      </c>
      <c r="J91" s="7">
        <v>5</v>
      </c>
      <c r="K91" s="8">
        <v>1</v>
      </c>
    </row>
    <row r="92" spans="2:11" ht="30" hidden="1" customHeight="1" outlineLevel="1" x14ac:dyDescent="0.3">
      <c r="B92" t="s">
        <v>237</v>
      </c>
      <c r="C92" s="22" t="s">
        <v>211</v>
      </c>
      <c r="D92" s="26">
        <v>4</v>
      </c>
      <c r="E92" s="6" t="s">
        <v>24</v>
      </c>
      <c r="F92" s="26"/>
      <c r="G92" s="7">
        <v>67</v>
      </c>
      <c r="H92" s="7">
        <v>3</v>
      </c>
      <c r="I92" s="7">
        <v>73</v>
      </c>
      <c r="J92" s="7">
        <v>6</v>
      </c>
      <c r="K92" s="8">
        <v>1</v>
      </c>
    </row>
    <row r="93" spans="2:11" ht="30" hidden="1" customHeight="1" outlineLevel="1" x14ac:dyDescent="0.3">
      <c r="B93" t="s">
        <v>238</v>
      </c>
      <c r="C93" s="22" t="s">
        <v>212</v>
      </c>
      <c r="D93" s="26">
        <v>4</v>
      </c>
      <c r="E93" s="6" t="s">
        <v>24</v>
      </c>
      <c r="F93" s="26"/>
      <c r="G93" s="7">
        <v>70</v>
      </c>
      <c r="H93" s="7">
        <v>3</v>
      </c>
      <c r="I93" s="7">
        <v>79</v>
      </c>
      <c r="J93" s="7">
        <v>6</v>
      </c>
      <c r="K93" s="8">
        <v>1</v>
      </c>
    </row>
    <row r="94" spans="2:11" ht="30" customHeight="1" collapsed="1" x14ac:dyDescent="0.3">
      <c r="B94" t="s">
        <v>126</v>
      </c>
      <c r="C94" s="6" t="s">
        <v>91</v>
      </c>
      <c r="D94" s="26">
        <v>4</v>
      </c>
      <c r="E94" s="6" t="s">
        <v>24</v>
      </c>
      <c r="F94" s="26">
        <v>3</v>
      </c>
      <c r="G94" s="7">
        <v>61</v>
      </c>
      <c r="H94" s="7">
        <v>10</v>
      </c>
      <c r="I94" s="7">
        <v>58</v>
      </c>
      <c r="J94" s="7">
        <v>10</v>
      </c>
      <c r="K94" s="8">
        <v>1</v>
      </c>
    </row>
    <row r="95" spans="2:11" ht="30" hidden="1" customHeight="1" outlineLevel="1" x14ac:dyDescent="0.3">
      <c r="B95" t="s">
        <v>213</v>
      </c>
      <c r="C95" s="6" t="s">
        <v>62</v>
      </c>
      <c r="D95" s="26">
        <v>4</v>
      </c>
      <c r="E95" s="6" t="s">
        <v>24</v>
      </c>
      <c r="F95" s="26"/>
      <c r="G95" s="7">
        <v>61</v>
      </c>
      <c r="H95" s="7">
        <v>5</v>
      </c>
      <c r="I95" s="7">
        <v>58</v>
      </c>
      <c r="J95" s="7">
        <v>5</v>
      </c>
      <c r="K95" s="8">
        <v>1</v>
      </c>
    </row>
    <row r="96" spans="2:11" ht="30" hidden="1" customHeight="1" outlineLevel="2" x14ac:dyDescent="0.3">
      <c r="C96" s="22" t="s">
        <v>65</v>
      </c>
      <c r="D96" s="27">
        <v>4</v>
      </c>
      <c r="E96" s="6" t="s">
        <v>24</v>
      </c>
      <c r="F96" s="26"/>
      <c r="G96" s="7">
        <v>61</v>
      </c>
      <c r="H96" s="7">
        <v>1</v>
      </c>
      <c r="I96" s="7">
        <v>59</v>
      </c>
      <c r="J96" s="7">
        <v>1</v>
      </c>
      <c r="K96" s="8">
        <v>1</v>
      </c>
    </row>
    <row r="97" spans="2:11" ht="30" hidden="1" customHeight="1" outlineLevel="2" x14ac:dyDescent="0.3">
      <c r="C97" s="22" t="s">
        <v>66</v>
      </c>
      <c r="D97" s="27">
        <v>4</v>
      </c>
      <c r="E97" s="6" t="s">
        <v>24</v>
      </c>
      <c r="F97" s="26"/>
      <c r="G97" s="7">
        <v>62</v>
      </c>
      <c r="H97" s="7">
        <v>0.5</v>
      </c>
      <c r="I97" s="7">
        <v>60</v>
      </c>
      <c r="J97" s="7">
        <v>0.5</v>
      </c>
      <c r="K97" s="8">
        <v>1</v>
      </c>
    </row>
    <row r="98" spans="2:11" ht="30" hidden="1" customHeight="1" outlineLevel="2" x14ac:dyDescent="0.3">
      <c r="C98" s="22" t="s">
        <v>67</v>
      </c>
      <c r="D98" s="27">
        <v>4</v>
      </c>
      <c r="E98" s="6" t="s">
        <v>24</v>
      </c>
      <c r="F98" s="26"/>
      <c r="G98" s="7">
        <v>62</v>
      </c>
      <c r="H98" s="7">
        <v>1</v>
      </c>
      <c r="I98" s="7">
        <v>60</v>
      </c>
      <c r="J98" s="7">
        <v>1</v>
      </c>
      <c r="K98" s="8">
        <v>1</v>
      </c>
    </row>
    <row r="99" spans="2:11" ht="30" hidden="1" customHeight="1" outlineLevel="2" x14ac:dyDescent="0.3">
      <c r="C99" s="22" t="s">
        <v>68</v>
      </c>
      <c r="D99" s="27">
        <v>4</v>
      </c>
      <c r="E99" s="6" t="s">
        <v>24</v>
      </c>
      <c r="F99" s="26"/>
      <c r="G99" s="7">
        <v>63</v>
      </c>
      <c r="H99" s="7">
        <v>1</v>
      </c>
      <c r="I99" s="7">
        <v>61</v>
      </c>
      <c r="J99" s="7">
        <v>1</v>
      </c>
      <c r="K99" s="8">
        <v>1</v>
      </c>
    </row>
    <row r="100" spans="2:11" ht="30" hidden="1" customHeight="1" outlineLevel="2" x14ac:dyDescent="0.3">
      <c r="C100" s="22" t="s">
        <v>69</v>
      </c>
      <c r="D100" s="27">
        <v>4</v>
      </c>
      <c r="E100" s="6" t="s">
        <v>24</v>
      </c>
      <c r="F100" s="26"/>
      <c r="G100" s="7">
        <v>64</v>
      </c>
      <c r="H100" s="7">
        <v>0.5</v>
      </c>
      <c r="I100" s="7">
        <v>62</v>
      </c>
      <c r="J100" s="7">
        <v>0.5</v>
      </c>
      <c r="K100" s="8">
        <v>1</v>
      </c>
    </row>
    <row r="101" spans="2:11" ht="30" hidden="1" customHeight="1" outlineLevel="2" x14ac:dyDescent="0.3">
      <c r="C101" s="22" t="s">
        <v>70</v>
      </c>
      <c r="D101" s="27">
        <v>4</v>
      </c>
      <c r="E101" s="6" t="s">
        <v>24</v>
      </c>
      <c r="F101" s="26"/>
      <c r="G101" s="7">
        <v>65</v>
      </c>
      <c r="H101" s="7">
        <v>1</v>
      </c>
      <c r="I101" s="7">
        <v>62</v>
      </c>
      <c r="J101" s="7">
        <v>1</v>
      </c>
      <c r="K101" s="8">
        <v>1</v>
      </c>
    </row>
    <row r="102" spans="2:11" ht="30" hidden="1" customHeight="1" outlineLevel="1" collapsed="1" x14ac:dyDescent="0.3">
      <c r="B102" t="s">
        <v>214</v>
      </c>
      <c r="C102" s="6" t="s">
        <v>63</v>
      </c>
      <c r="D102" s="26">
        <v>4</v>
      </c>
      <c r="E102" s="6" t="s">
        <v>24</v>
      </c>
      <c r="F102" s="26"/>
      <c r="G102" s="7">
        <v>66</v>
      </c>
      <c r="H102" s="7">
        <v>3</v>
      </c>
      <c r="I102" s="7">
        <v>62</v>
      </c>
      <c r="J102" s="7">
        <v>3</v>
      </c>
      <c r="K102" s="8">
        <v>1</v>
      </c>
    </row>
    <row r="103" spans="2:11" ht="30" hidden="1" customHeight="1" outlineLevel="2" x14ac:dyDescent="0.3">
      <c r="C103" s="22" t="s">
        <v>71</v>
      </c>
      <c r="D103" s="27">
        <v>4</v>
      </c>
      <c r="E103" s="6" t="s">
        <v>24</v>
      </c>
      <c r="F103" s="26"/>
      <c r="G103" s="7">
        <v>66</v>
      </c>
      <c r="H103" s="7">
        <v>0.5</v>
      </c>
      <c r="I103" s="7">
        <v>62</v>
      </c>
      <c r="J103" s="7">
        <v>0.5</v>
      </c>
      <c r="K103" s="8">
        <v>1</v>
      </c>
    </row>
    <row r="104" spans="2:11" ht="30" hidden="1" customHeight="1" outlineLevel="2" x14ac:dyDescent="0.3">
      <c r="C104" s="22" t="s">
        <v>72</v>
      </c>
      <c r="D104" s="27">
        <v>4</v>
      </c>
      <c r="E104" s="6" t="s">
        <v>24</v>
      </c>
      <c r="F104" s="26"/>
      <c r="G104" s="7">
        <v>66</v>
      </c>
      <c r="H104" s="7">
        <v>1</v>
      </c>
      <c r="I104" s="7">
        <v>62</v>
      </c>
      <c r="J104" s="7">
        <v>1</v>
      </c>
      <c r="K104" s="8">
        <v>1</v>
      </c>
    </row>
    <row r="105" spans="2:11" ht="30" hidden="1" customHeight="1" outlineLevel="2" x14ac:dyDescent="0.3">
      <c r="C105" s="22" t="s">
        <v>73</v>
      </c>
      <c r="D105" s="27">
        <v>4</v>
      </c>
      <c r="E105" s="6" t="s">
        <v>24</v>
      </c>
      <c r="F105" s="26"/>
      <c r="G105" s="7">
        <v>67</v>
      </c>
      <c r="H105" s="7">
        <v>0.5</v>
      </c>
      <c r="I105" s="7">
        <v>63</v>
      </c>
      <c r="J105" s="7">
        <v>0.5</v>
      </c>
      <c r="K105" s="8">
        <v>1</v>
      </c>
    </row>
    <row r="106" spans="2:11" ht="30" hidden="1" customHeight="1" outlineLevel="2" x14ac:dyDescent="0.3">
      <c r="C106" s="22" t="s">
        <v>74</v>
      </c>
      <c r="D106" s="27">
        <v>4</v>
      </c>
      <c r="E106" s="6" t="s">
        <v>24</v>
      </c>
      <c r="F106" s="26"/>
      <c r="G106" s="7">
        <v>67</v>
      </c>
      <c r="H106" s="7">
        <v>0.5</v>
      </c>
      <c r="I106" s="7">
        <v>63</v>
      </c>
      <c r="J106" s="7">
        <v>0.5</v>
      </c>
      <c r="K106" s="8">
        <v>1</v>
      </c>
    </row>
    <row r="107" spans="2:11" ht="30" hidden="1" customHeight="1" outlineLevel="2" x14ac:dyDescent="0.3">
      <c r="C107" s="22" t="s">
        <v>75</v>
      </c>
      <c r="D107" s="27">
        <v>4</v>
      </c>
      <c r="E107" s="6" t="s">
        <v>24</v>
      </c>
      <c r="F107" s="26"/>
      <c r="G107" s="7">
        <v>68</v>
      </c>
      <c r="H107" s="7">
        <v>0.5</v>
      </c>
      <c r="I107" s="7">
        <v>64</v>
      </c>
      <c r="J107" s="7">
        <v>0.5</v>
      </c>
      <c r="K107" s="8">
        <v>1</v>
      </c>
    </row>
    <row r="108" spans="2:11" ht="30" hidden="1" customHeight="1" outlineLevel="1" collapsed="1" x14ac:dyDescent="0.3">
      <c r="B108" t="s">
        <v>215</v>
      </c>
      <c r="C108" s="6" t="s">
        <v>64</v>
      </c>
      <c r="D108" s="26">
        <v>4</v>
      </c>
      <c r="E108" s="6" t="s">
        <v>24</v>
      </c>
      <c r="F108" s="26"/>
      <c r="G108" s="7">
        <v>69</v>
      </c>
      <c r="H108" s="7">
        <v>2</v>
      </c>
      <c r="I108" s="7">
        <v>65</v>
      </c>
      <c r="J108" s="7">
        <v>2</v>
      </c>
      <c r="K108" s="8">
        <v>1</v>
      </c>
    </row>
    <row r="109" spans="2:11" ht="30" hidden="1" customHeight="1" outlineLevel="1" x14ac:dyDescent="0.3">
      <c r="C109" s="22" t="s">
        <v>76</v>
      </c>
      <c r="D109" s="27">
        <v>4</v>
      </c>
      <c r="E109" s="6" t="s">
        <v>24</v>
      </c>
      <c r="F109" s="26"/>
      <c r="G109" s="7">
        <v>69</v>
      </c>
      <c r="H109" s="7">
        <v>0.5</v>
      </c>
      <c r="I109" s="7">
        <v>65</v>
      </c>
      <c r="J109" s="7">
        <v>0.5</v>
      </c>
      <c r="K109" s="8">
        <v>1</v>
      </c>
    </row>
    <row r="110" spans="2:11" ht="30" hidden="1" customHeight="1" outlineLevel="1" x14ac:dyDescent="0.3">
      <c r="C110" s="22" t="s">
        <v>77</v>
      </c>
      <c r="D110" s="27">
        <v>4</v>
      </c>
      <c r="E110" s="6" t="s">
        <v>24</v>
      </c>
      <c r="F110" s="26"/>
      <c r="G110" s="7">
        <v>70</v>
      </c>
      <c r="H110" s="7">
        <v>0.5</v>
      </c>
      <c r="I110" s="7">
        <v>65</v>
      </c>
      <c r="J110" s="7">
        <v>0.5</v>
      </c>
      <c r="K110" s="8">
        <v>1</v>
      </c>
    </row>
    <row r="111" spans="2:11" ht="30" hidden="1" customHeight="1" outlineLevel="1" x14ac:dyDescent="0.3">
      <c r="C111" s="22" t="s">
        <v>78</v>
      </c>
      <c r="D111" s="27">
        <v>4</v>
      </c>
      <c r="E111" s="6" t="s">
        <v>24</v>
      </c>
      <c r="F111" s="26"/>
      <c r="G111" s="7">
        <v>70</v>
      </c>
      <c r="H111" s="7">
        <v>0.5</v>
      </c>
      <c r="I111" s="7">
        <v>66</v>
      </c>
      <c r="J111" s="7">
        <v>0.5</v>
      </c>
      <c r="K111" s="8">
        <v>1</v>
      </c>
    </row>
    <row r="112" spans="2:11" ht="30" customHeight="1" collapsed="1" x14ac:dyDescent="0.3">
      <c r="B112" t="s">
        <v>201</v>
      </c>
      <c r="C112" s="6" t="s">
        <v>94</v>
      </c>
      <c r="D112" s="26">
        <v>4</v>
      </c>
      <c r="E112" s="6" t="s">
        <v>24</v>
      </c>
      <c r="F112" s="26">
        <v>3</v>
      </c>
      <c r="G112" s="7">
        <v>70</v>
      </c>
      <c r="H112" s="7">
        <v>3</v>
      </c>
      <c r="I112" s="7">
        <v>75</v>
      </c>
      <c r="J112" s="7">
        <v>8</v>
      </c>
      <c r="K112" s="8">
        <v>1</v>
      </c>
    </row>
    <row r="113" spans="2:11" ht="30" hidden="1" customHeight="1" outlineLevel="1" x14ac:dyDescent="0.3">
      <c r="B113" t="s">
        <v>239</v>
      </c>
      <c r="C113" s="22" t="s">
        <v>114</v>
      </c>
      <c r="D113" s="26">
        <v>4</v>
      </c>
      <c r="E113" s="6" t="s">
        <v>24</v>
      </c>
      <c r="F113" s="26"/>
      <c r="G113" s="7">
        <v>58</v>
      </c>
      <c r="H113" s="7">
        <v>0.5</v>
      </c>
      <c r="I113" s="7">
        <v>75</v>
      </c>
      <c r="J113" s="7">
        <v>2</v>
      </c>
      <c r="K113" s="8">
        <v>1</v>
      </c>
    </row>
    <row r="114" spans="2:11" ht="30" hidden="1" customHeight="1" outlineLevel="1" x14ac:dyDescent="0.3">
      <c r="B114" t="s">
        <v>240</v>
      </c>
      <c r="C114" s="22" t="s">
        <v>115</v>
      </c>
      <c r="D114" s="26">
        <v>4</v>
      </c>
      <c r="E114" s="6" t="s">
        <v>24</v>
      </c>
      <c r="F114" s="26"/>
      <c r="G114" s="7">
        <v>58</v>
      </c>
      <c r="H114" s="7">
        <v>0.5</v>
      </c>
      <c r="I114" s="7">
        <v>77</v>
      </c>
      <c r="J114" s="7">
        <v>1</v>
      </c>
      <c r="K114" s="8">
        <v>1</v>
      </c>
    </row>
    <row r="115" spans="2:11" ht="30" hidden="1" customHeight="1" outlineLevel="1" x14ac:dyDescent="0.3">
      <c r="B115" t="s">
        <v>241</v>
      </c>
      <c r="C115" s="22" t="s">
        <v>116</v>
      </c>
      <c r="D115" s="26">
        <v>4</v>
      </c>
      <c r="E115" s="6" t="s">
        <v>24</v>
      </c>
      <c r="F115" s="26"/>
      <c r="G115" s="7">
        <v>59</v>
      </c>
      <c r="H115" s="7">
        <v>0.5</v>
      </c>
      <c r="I115" s="7">
        <v>78</v>
      </c>
      <c r="J115" s="7">
        <v>1</v>
      </c>
      <c r="K115" s="8">
        <v>1</v>
      </c>
    </row>
    <row r="116" spans="2:11" ht="30" hidden="1" customHeight="1" outlineLevel="1" x14ac:dyDescent="0.3">
      <c r="B116" t="s">
        <v>242</v>
      </c>
      <c r="C116" s="22" t="s">
        <v>117</v>
      </c>
      <c r="D116" s="26">
        <v>4</v>
      </c>
      <c r="E116" s="6" t="s">
        <v>24</v>
      </c>
      <c r="F116" s="26"/>
      <c r="G116" s="7">
        <v>59</v>
      </c>
      <c r="H116" s="7">
        <v>0.5</v>
      </c>
      <c r="I116" s="7">
        <v>79</v>
      </c>
      <c r="J116" s="7">
        <v>2</v>
      </c>
      <c r="K116" s="8">
        <v>1</v>
      </c>
    </row>
    <row r="117" spans="2:11" ht="30" hidden="1" customHeight="1" outlineLevel="1" x14ac:dyDescent="0.3">
      <c r="B117" t="s">
        <v>243</v>
      </c>
      <c r="C117" s="22" t="s">
        <v>118</v>
      </c>
      <c r="D117" s="26">
        <v>4</v>
      </c>
      <c r="E117" s="6" t="s">
        <v>24</v>
      </c>
      <c r="F117" s="26"/>
      <c r="G117" s="7">
        <v>60</v>
      </c>
      <c r="H117" s="7">
        <v>0.5</v>
      </c>
      <c r="I117" s="7">
        <v>81</v>
      </c>
      <c r="J117" s="7">
        <v>1</v>
      </c>
      <c r="K117" s="8">
        <v>1</v>
      </c>
    </row>
    <row r="118" spans="2:11" ht="30" hidden="1" customHeight="1" outlineLevel="1" x14ac:dyDescent="0.3">
      <c r="B118" t="s">
        <v>244</v>
      </c>
      <c r="C118" s="22" t="s">
        <v>119</v>
      </c>
      <c r="D118" s="26">
        <v>4</v>
      </c>
      <c r="E118" s="6" t="s">
        <v>24</v>
      </c>
      <c r="F118" s="26"/>
      <c r="G118" s="7">
        <v>60</v>
      </c>
      <c r="H118" s="7">
        <v>0.5</v>
      </c>
      <c r="I118" s="7">
        <v>82</v>
      </c>
      <c r="J118" s="7">
        <v>1</v>
      </c>
      <c r="K118" s="8">
        <v>1</v>
      </c>
    </row>
    <row r="119" spans="2:11" ht="30" customHeight="1" collapsed="1" x14ac:dyDescent="0.3">
      <c r="B119" t="s">
        <v>202</v>
      </c>
      <c r="C119" s="6" t="s">
        <v>216</v>
      </c>
      <c r="D119" s="26">
        <v>4</v>
      </c>
      <c r="E119" s="6" t="s">
        <v>125</v>
      </c>
      <c r="F119" s="26">
        <v>2</v>
      </c>
      <c r="G119" s="7">
        <v>73</v>
      </c>
      <c r="H119" s="7">
        <v>3</v>
      </c>
      <c r="I119" s="7">
        <v>73</v>
      </c>
      <c r="J119" s="7">
        <v>10</v>
      </c>
      <c r="K119" s="8">
        <v>1</v>
      </c>
    </row>
    <row r="120" spans="2:11" ht="30" customHeight="1" x14ac:dyDescent="0.3">
      <c r="B120" t="s">
        <v>203</v>
      </c>
      <c r="C120" s="6" t="s">
        <v>217</v>
      </c>
      <c r="D120" s="26">
        <v>4</v>
      </c>
      <c r="E120" s="6" t="s">
        <v>125</v>
      </c>
      <c r="F120" s="26">
        <v>2</v>
      </c>
      <c r="G120" s="7">
        <v>73</v>
      </c>
      <c r="H120" s="7">
        <v>3</v>
      </c>
      <c r="I120" s="7">
        <v>73</v>
      </c>
      <c r="J120" s="7">
        <v>11</v>
      </c>
      <c r="K120" s="8">
        <v>1</v>
      </c>
    </row>
    <row r="121" spans="2:11" ht="30" customHeight="1" x14ac:dyDescent="0.3">
      <c r="B121" t="s">
        <v>204</v>
      </c>
      <c r="C121" s="6" t="s">
        <v>218</v>
      </c>
      <c r="D121" s="26">
        <v>4</v>
      </c>
      <c r="E121" s="6" t="s">
        <v>125</v>
      </c>
      <c r="F121" s="26">
        <v>2</v>
      </c>
      <c r="G121" s="7">
        <v>73</v>
      </c>
      <c r="H121" s="7">
        <v>3</v>
      </c>
      <c r="I121" s="7">
        <v>73</v>
      </c>
      <c r="J121" s="7">
        <v>5</v>
      </c>
      <c r="K121" s="8">
        <v>1</v>
      </c>
    </row>
    <row r="122" spans="2:11" ht="30" customHeight="1" x14ac:dyDescent="0.3">
      <c r="B122" t="s">
        <v>205</v>
      </c>
      <c r="C122" s="6" t="s">
        <v>219</v>
      </c>
      <c r="D122" s="26">
        <v>4</v>
      </c>
      <c r="E122" s="6" t="s">
        <v>24</v>
      </c>
      <c r="F122" s="26">
        <v>3</v>
      </c>
      <c r="G122" s="7">
        <v>73</v>
      </c>
      <c r="H122" s="7">
        <v>3</v>
      </c>
      <c r="I122" s="7">
        <v>73</v>
      </c>
      <c r="J122" s="7">
        <v>4</v>
      </c>
      <c r="K122" s="8">
        <v>1</v>
      </c>
    </row>
    <row r="123" spans="2:11" ht="30" hidden="1" customHeight="1" outlineLevel="1" x14ac:dyDescent="0.3">
      <c r="B123" t="s">
        <v>224</v>
      </c>
      <c r="C123" s="22" t="s">
        <v>220</v>
      </c>
      <c r="D123" s="26">
        <v>4</v>
      </c>
      <c r="E123" s="6" t="s">
        <v>125</v>
      </c>
      <c r="F123" s="26"/>
      <c r="G123" s="7">
        <v>67</v>
      </c>
      <c r="H123" s="7">
        <v>0.5</v>
      </c>
      <c r="I123" s="7">
        <v>73</v>
      </c>
      <c r="J123" s="7">
        <v>1</v>
      </c>
      <c r="K123" s="8">
        <v>1</v>
      </c>
    </row>
    <row r="124" spans="2:11" ht="30" hidden="1" customHeight="1" outlineLevel="1" x14ac:dyDescent="0.3">
      <c r="B124" t="s">
        <v>225</v>
      </c>
      <c r="C124" s="22" t="s">
        <v>221</v>
      </c>
      <c r="D124" s="26">
        <v>4</v>
      </c>
      <c r="E124" s="6" t="s">
        <v>125</v>
      </c>
      <c r="F124" s="26"/>
      <c r="G124" s="7">
        <v>67</v>
      </c>
      <c r="H124" s="7">
        <v>0.5</v>
      </c>
      <c r="I124" s="7">
        <v>74</v>
      </c>
      <c r="J124" s="7">
        <v>1</v>
      </c>
      <c r="K124" s="8">
        <v>1</v>
      </c>
    </row>
    <row r="125" spans="2:11" ht="30" hidden="1" customHeight="1" outlineLevel="1" x14ac:dyDescent="0.3">
      <c r="B125" t="s">
        <v>226</v>
      </c>
      <c r="C125" s="22" t="s">
        <v>222</v>
      </c>
      <c r="D125" s="26">
        <v>4</v>
      </c>
      <c r="E125" s="6" t="s">
        <v>125</v>
      </c>
      <c r="F125" s="26"/>
      <c r="G125" s="7">
        <v>68</v>
      </c>
      <c r="H125" s="7">
        <v>1</v>
      </c>
      <c r="I125" s="7">
        <v>75</v>
      </c>
      <c r="J125" s="7">
        <v>1</v>
      </c>
      <c r="K125" s="8">
        <v>1</v>
      </c>
    </row>
    <row r="126" spans="2:11" ht="30" hidden="1" customHeight="1" outlineLevel="1" x14ac:dyDescent="0.3">
      <c r="B126" t="s">
        <v>227</v>
      </c>
      <c r="C126" s="22" t="s">
        <v>223</v>
      </c>
      <c r="D126" s="26">
        <v>4</v>
      </c>
      <c r="E126" s="6" t="s">
        <v>125</v>
      </c>
      <c r="F126" s="26"/>
      <c r="G126" s="7">
        <v>69</v>
      </c>
      <c r="H126" s="7">
        <v>1</v>
      </c>
      <c r="I126" s="7">
        <v>76</v>
      </c>
      <c r="J126" s="7">
        <v>1</v>
      </c>
      <c r="K126" s="8">
        <v>1</v>
      </c>
    </row>
    <row r="127" spans="2:11" ht="30" customHeight="1" collapsed="1" x14ac:dyDescent="0.3">
      <c r="B127">
        <v>7</v>
      </c>
      <c r="C127" s="6" t="s">
        <v>1</v>
      </c>
      <c r="D127" s="26">
        <v>5</v>
      </c>
      <c r="E127" s="6" t="s">
        <v>11</v>
      </c>
      <c r="F127" s="26">
        <v>4</v>
      </c>
      <c r="G127" s="7">
        <v>78</v>
      </c>
      <c r="H127" s="7">
        <v>7</v>
      </c>
      <c r="I127" s="7">
        <v>78</v>
      </c>
      <c r="J127" s="7">
        <v>7</v>
      </c>
      <c r="K127" s="8">
        <v>1</v>
      </c>
    </row>
    <row r="128" spans="2:11" ht="30" customHeight="1" x14ac:dyDescent="0.3">
      <c r="C128" s="6"/>
      <c r="D128" s="26"/>
      <c r="E128" s="26"/>
      <c r="G128" s="7"/>
      <c r="H128" s="7"/>
      <c r="I128" s="7"/>
      <c r="J128" s="7"/>
      <c r="K128" s="8"/>
    </row>
  </sheetData>
  <mergeCells count="14">
    <mergeCell ref="C1:K1"/>
    <mergeCell ref="J3:J4"/>
    <mergeCell ref="AK2:AR2"/>
    <mergeCell ref="K3:K4"/>
    <mergeCell ref="O2:S2"/>
    <mergeCell ref="U2:W2"/>
    <mergeCell ref="Y2:AB2"/>
    <mergeCell ref="AD2:AI2"/>
    <mergeCell ref="F3:F4"/>
    <mergeCell ref="B3:B4"/>
    <mergeCell ref="C3:C4"/>
    <mergeCell ref="G3:G4"/>
    <mergeCell ref="H3:H4"/>
    <mergeCell ref="I3:I4"/>
  </mergeCells>
  <phoneticPr fontId="18" type="noConversion"/>
  <conditionalFormatting sqref="C129:DJ129">
    <cfRule type="expression" dxfId="12" priority="58">
      <formula>TRUE</formula>
    </cfRule>
  </conditionalFormatting>
  <conditionalFormatting sqref="L4:DJ4">
    <cfRule type="expression" dxfId="11" priority="64">
      <formula>L$4=period_selected</formula>
    </cfRule>
  </conditionalFormatting>
  <conditionalFormatting sqref="L5:DJ70 L71:AG77 AJ71:DJ77 L78:DJ128">
    <cfRule type="expression" dxfId="10" priority="6">
      <formula>L$4=period_selected</formula>
    </cfRule>
    <cfRule type="expression" dxfId="9" priority="7">
      <formula>MOD(COLUMN(),2)</formula>
    </cfRule>
    <cfRule type="expression" dxfId="8" priority="8">
      <formula>MOD(COLUMN(),2)=0</formula>
    </cfRule>
  </conditionalFormatting>
  <conditionalFormatting sqref="L5:DJ70 L71:AH77 AJ71:DJ77 L78:DJ128">
    <cfRule type="expression" dxfId="7" priority="1">
      <formula>PercentComplete</formula>
    </cfRule>
    <cfRule type="expression" dxfId="6" priority="2">
      <formula>PercentCompleteBeyond</formula>
    </cfRule>
    <cfRule type="expression" dxfId="5" priority="3">
      <formula>Real</formula>
    </cfRule>
    <cfRule type="expression" dxfId="4" priority="4">
      <formula>ActualBeyond</formula>
    </cfRule>
    <cfRule type="expression" dxfId="3" priority="5">
      <formula>Plan</formula>
    </cfRule>
  </conditionalFormatting>
  <conditionalFormatting sqref="AH71:AH77">
    <cfRule type="expression" dxfId="2" priority="78">
      <formula>AI$4=period_selected</formula>
    </cfRule>
    <cfRule type="expression" dxfId="1" priority="79">
      <formula>MOD(COLUMN(),2)</formula>
    </cfRule>
    <cfRule type="expression" dxfId="0" priority="80">
      <formula>MOD(COLUMN(),2)=0</formula>
    </cfRule>
  </conditionalFormatting>
  <dataValidations count="16">
    <dataValidation allowBlank="1" showInputMessage="1" showErrorMessage="1" prompt="El planificador de proyectos usa periodos para los intervalos. Inicio = 1 es el periodo 1 y la duración = 5 significa que el proyecto dura 5 periodos desde el periodo de inicio. Introduzca datos a partir de la celda B5 para actualizar el gráfico." sqref="A1:B1" xr:uid="{00000000-0002-0000-0000-000000000000}"/>
    <dataValidation type="list" errorStyle="warning" allowBlank="1" showInputMessage="1" showErrorMessage="1" error="Escriba un valor del 1 al 60 o seleccione un periodo de la lista (presione CANCELAR, ALT+FLECHA ABAJO y, a continuación, presione ENTRAR para seleccionar un valor)." prompt="Escriba un periodo en el intervalo de 1 a 60 o seleccione un periodo de la lista. Presione ALT+FLECHA ABAJO para desplazarse a la lista y, después, presione ENTRAR para seleccionar un valor." sqref="L2" xr:uid="{00000000-0002-0000-0000-000001000000}">
      <formula1>"1,2,3,4,5,6,7,8,9,10,11,12,13,14,15,16,17,18,19,20,21,22,23,24,25,26,27,28,29,30,31,32,33,34,35,36,37,38,39,40,41,42,43,44,45,46,47,48,49,50,51,52,53,54,55,56,57,58,59,60"</formula1>
    </dataValidation>
    <dataValidation allowBlank="1" showInputMessage="1" showErrorMessage="1" prompt="Esta celda de la leyenda indica la duración del plan" sqref="N2" xr:uid="{00000000-0002-0000-0000-000002000000}"/>
    <dataValidation allowBlank="1" showInputMessage="1" showErrorMessage="1" prompt="Esta celda de la leyenda indica la duración real" sqref="T2" xr:uid="{00000000-0002-0000-0000-000003000000}"/>
    <dataValidation allowBlank="1" showInputMessage="1" showErrorMessage="1" prompt="Esta celda de la leyenda indica el porcentaje del proyecto completado" sqref="X2" xr:uid="{00000000-0002-0000-0000-000004000000}"/>
    <dataValidation allowBlank="1" showInputMessage="1" showErrorMessage="1" prompt="Esta celda de la leyenda indica la duración real fuera del plan" sqref="AC2" xr:uid="{00000000-0002-0000-0000-000005000000}"/>
    <dataValidation allowBlank="1" showInputMessage="1" showErrorMessage="1" prompt="Esta celda de la leyenda indica el porcentaje del proyecto completado fuera del plan" sqref="AJ2" xr:uid="{00000000-0002-0000-0000-000006000000}"/>
    <dataValidation allowBlank="1" showInputMessage="1" showErrorMessage="1" prompt="Los periodos se representan del 1 al 60, desde la celda H4 a la celda BO4 " sqref="L3:CQ3" xr:uid="{00000000-0002-0000-0000-000007000000}"/>
    <dataValidation allowBlank="1" showInputMessage="1" showErrorMessage="1" prompt="Escriba la actividad en la columna B, a partir de la celda B5_x000a_" sqref="C3:F4" xr:uid="{00000000-0002-0000-0000-000008000000}"/>
    <dataValidation allowBlank="1" showInputMessage="1" showErrorMessage="1" prompt="Escriba el periodo de inicio del plan en la columna C, a partir de la celda C5." sqref="G3:G4" xr:uid="{00000000-0002-0000-0000-000009000000}"/>
    <dataValidation allowBlank="1" showInputMessage="1" showErrorMessage="1" prompt="Escriba el periodo de duración del plan en la columna D, a partir de la celda D5." sqref="H3:H4" xr:uid="{00000000-0002-0000-0000-00000A000000}"/>
    <dataValidation allowBlank="1" showInputMessage="1" showErrorMessage="1" prompt="Escriba el periodo de inicio real del plan en la columna E, a partir de la celda E5." sqref="I3:I4" xr:uid="{00000000-0002-0000-0000-00000B000000}"/>
    <dataValidation allowBlank="1" showInputMessage="1" showErrorMessage="1" prompt="Escriba el periodo de duración real del plan en la columna F, a partir de la celda F5." sqref="J3:J4" xr:uid="{00000000-0002-0000-0000-00000C000000}"/>
    <dataValidation allowBlank="1" showInputMessage="1" showErrorMessage="1" prompt="Escriba el porcentaje de proyecto completado en la columna G, a partir de la celda G5." sqref="K3:K4" xr:uid="{00000000-0002-0000-0000-00000D000000}"/>
    <dataValidation allowBlank="1" showInputMessage="1" showErrorMessage="1" prompt="Título del proyecto. Escriba un nuevo título en esta celda. Resalte un periodo en H2. La leyenda del gráfico está en las celdas J2 a AI2." sqref="C1:D1" xr:uid="{00000000-0002-0000-0000-00000E000000}"/>
    <dataValidation allowBlank="1" showInputMessage="1" showErrorMessage="1" prompt="Seleccione un período para resaltar en H2. La leyenda de un gráfico está en las celdas J2 a AI2." sqref="C2:J2" xr:uid="{00000000-0002-0000-0000-00000F000000}"/>
  </dataValidations>
  <printOptions horizontalCentered="1"/>
  <pageMargins left="0.45" right="0.45" top="0.5" bottom="0.5" header="0.3" footer="0.3"/>
  <pageSetup paperSize="9" scale="44" fitToHeight="0" orientation="landscape" r:id="rId1"/>
  <headerFooter differentFirst="1">
    <oddFooter>Page &amp;P of &amp;N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9ABBF-207D-41D3-A411-1432A2CE1A2F}">
  <dimension ref="A2:L103"/>
  <sheetViews>
    <sheetView topLeftCell="A85" workbookViewId="0">
      <selection activeCell="K3" sqref="K3:K103"/>
    </sheetView>
  </sheetViews>
  <sheetFormatPr defaultRowHeight="12" x14ac:dyDescent="0.25"/>
  <cols>
    <col min="1" max="1" width="5.75" style="37" bestFit="1" customWidth="1"/>
    <col min="2" max="2" width="52.5" style="40" customWidth="1"/>
    <col min="3" max="3" width="8.375" style="37" bestFit="1" customWidth="1"/>
    <col min="4" max="4" width="11" style="37" bestFit="1" customWidth="1"/>
    <col min="5" max="5" width="9.75" style="37" bestFit="1" customWidth="1"/>
    <col min="6" max="6" width="8.25" style="37" bestFit="1" customWidth="1"/>
    <col min="7" max="7" width="9.75" style="37" bestFit="1" customWidth="1"/>
    <col min="8" max="8" width="12.375" style="37" bestFit="1" customWidth="1"/>
    <col min="9" max="9" width="4.625" style="37" bestFit="1" customWidth="1"/>
    <col min="10" max="16384" width="9" style="37"/>
  </cols>
  <sheetData>
    <row r="2" spans="1:12" s="32" customFormat="1" ht="15" x14ac:dyDescent="0.25">
      <c r="A2" s="29" t="s">
        <v>0</v>
      </c>
      <c r="B2" s="43" t="s">
        <v>33</v>
      </c>
      <c r="C2" s="30" t="s">
        <v>112</v>
      </c>
      <c r="D2" s="31" t="s">
        <v>3</v>
      </c>
      <c r="E2" s="44" t="s">
        <v>4</v>
      </c>
      <c r="F2" s="44" t="s">
        <v>5</v>
      </c>
      <c r="G2" s="44" t="s">
        <v>6</v>
      </c>
      <c r="H2" s="44" t="s">
        <v>7</v>
      </c>
      <c r="I2" s="45" t="s">
        <v>246</v>
      </c>
      <c r="J2" s="32" t="s">
        <v>247</v>
      </c>
      <c r="K2" s="32" t="s">
        <v>248</v>
      </c>
      <c r="L2" s="32" t="s">
        <v>252</v>
      </c>
    </row>
    <row r="3" spans="1:12" ht="15.75" customHeight="1" x14ac:dyDescent="0.2">
      <c r="A3" t="s">
        <v>128</v>
      </c>
      <c r="B3" s="42" t="s">
        <v>43</v>
      </c>
      <c r="C3" s="38"/>
      <c r="D3" s="33" t="s">
        <v>25</v>
      </c>
      <c r="E3" s="35">
        <v>1</v>
      </c>
      <c r="F3" s="35">
        <v>2</v>
      </c>
      <c r="G3" s="35">
        <v>1</v>
      </c>
      <c r="H3" s="35">
        <v>3</v>
      </c>
      <c r="I3" s="36">
        <v>1</v>
      </c>
      <c r="J3" s="37">
        <f t="shared" ref="J3:J34" si="0">+E3+F3</f>
        <v>3</v>
      </c>
      <c r="K3" s="37">
        <f t="shared" ref="K3:K34" si="1">+G3+H3</f>
        <v>4</v>
      </c>
      <c r="L3" s="37">
        <v>11</v>
      </c>
    </row>
    <row r="4" spans="1:12" ht="15.75" customHeight="1" x14ac:dyDescent="0.2">
      <c r="A4" t="s">
        <v>129</v>
      </c>
      <c r="B4" s="42" t="s">
        <v>44</v>
      </c>
      <c r="C4" s="38"/>
      <c r="D4" s="33" t="s">
        <v>25</v>
      </c>
      <c r="E4" s="35">
        <v>2</v>
      </c>
      <c r="F4" s="35">
        <v>2</v>
      </c>
      <c r="G4" s="35">
        <v>3</v>
      </c>
      <c r="H4" s="35">
        <v>3</v>
      </c>
      <c r="I4" s="36">
        <v>1</v>
      </c>
      <c r="J4" s="37">
        <f t="shared" si="0"/>
        <v>4</v>
      </c>
      <c r="K4" s="37">
        <f t="shared" si="1"/>
        <v>6</v>
      </c>
      <c r="L4" s="37">
        <v>11</v>
      </c>
    </row>
    <row r="5" spans="1:12" ht="15.75" customHeight="1" x14ac:dyDescent="0.2">
      <c r="A5" t="s">
        <v>130</v>
      </c>
      <c r="B5" s="42" t="s">
        <v>45</v>
      </c>
      <c r="C5" s="38"/>
      <c r="D5" s="33" t="s">
        <v>25</v>
      </c>
      <c r="E5" s="35">
        <v>4</v>
      </c>
      <c r="F5" s="35">
        <v>2</v>
      </c>
      <c r="G5" s="35">
        <v>6</v>
      </c>
      <c r="H5" s="35">
        <v>3</v>
      </c>
      <c r="I5" s="36">
        <v>1</v>
      </c>
      <c r="J5" s="37">
        <f t="shared" si="0"/>
        <v>6</v>
      </c>
      <c r="K5" s="37">
        <f t="shared" si="1"/>
        <v>9</v>
      </c>
      <c r="L5" s="37">
        <v>11</v>
      </c>
    </row>
    <row r="6" spans="1:12" ht="15.75" customHeight="1" x14ac:dyDescent="0.2">
      <c r="A6" t="s">
        <v>140</v>
      </c>
      <c r="B6" s="42" t="s">
        <v>34</v>
      </c>
      <c r="C6" s="38"/>
      <c r="D6" s="33" t="s">
        <v>11</v>
      </c>
      <c r="E6" s="35">
        <v>11</v>
      </c>
      <c r="F6" s="35">
        <v>0.5</v>
      </c>
      <c r="G6" s="35">
        <v>11</v>
      </c>
      <c r="H6" s="35">
        <v>0.5</v>
      </c>
      <c r="I6" s="36">
        <v>1</v>
      </c>
      <c r="J6" s="37">
        <f t="shared" si="0"/>
        <v>11.5</v>
      </c>
      <c r="K6" s="37">
        <f t="shared" si="1"/>
        <v>11.5</v>
      </c>
      <c r="L6" s="37">
        <v>14</v>
      </c>
    </row>
    <row r="7" spans="1:12" ht="15.75" customHeight="1" x14ac:dyDescent="0.2">
      <c r="A7" t="s">
        <v>131</v>
      </c>
      <c r="B7" s="42" t="s">
        <v>46</v>
      </c>
      <c r="C7" s="38"/>
      <c r="D7" s="33" t="s">
        <v>25</v>
      </c>
      <c r="E7" s="35">
        <v>6</v>
      </c>
      <c r="F7" s="35">
        <v>2</v>
      </c>
      <c r="G7" s="35">
        <v>9</v>
      </c>
      <c r="H7" s="35">
        <v>3</v>
      </c>
      <c r="I7" s="36">
        <v>1</v>
      </c>
      <c r="J7" s="37">
        <f t="shared" si="0"/>
        <v>8</v>
      </c>
      <c r="K7" s="37">
        <f t="shared" si="1"/>
        <v>12</v>
      </c>
      <c r="L7" s="37">
        <v>11</v>
      </c>
    </row>
    <row r="8" spans="1:12" ht="15.75" customHeight="1" x14ac:dyDescent="0.2">
      <c r="A8" t="s">
        <v>134</v>
      </c>
      <c r="B8" s="42" t="s">
        <v>38</v>
      </c>
      <c r="C8" s="38"/>
      <c r="D8" s="33" t="s">
        <v>11</v>
      </c>
      <c r="E8" s="35">
        <v>13</v>
      </c>
      <c r="F8" s="35">
        <v>1</v>
      </c>
      <c r="G8" s="35">
        <v>13</v>
      </c>
      <c r="H8" s="35">
        <v>1</v>
      </c>
      <c r="I8" s="36">
        <v>1</v>
      </c>
      <c r="J8" s="37">
        <f t="shared" si="0"/>
        <v>14</v>
      </c>
      <c r="K8" s="37">
        <f t="shared" si="1"/>
        <v>14</v>
      </c>
      <c r="L8" s="37">
        <v>11.5</v>
      </c>
    </row>
    <row r="9" spans="1:12" ht="15.75" customHeight="1" x14ac:dyDescent="0.2">
      <c r="A9" t="s">
        <v>141</v>
      </c>
      <c r="B9" s="42" t="s">
        <v>35</v>
      </c>
      <c r="C9" s="38"/>
      <c r="D9" s="33" t="s">
        <v>11</v>
      </c>
      <c r="E9" s="35">
        <v>12</v>
      </c>
      <c r="F9" s="35">
        <v>2</v>
      </c>
      <c r="G9" s="35">
        <v>12</v>
      </c>
      <c r="H9" s="35">
        <v>2</v>
      </c>
      <c r="I9" s="36">
        <v>1</v>
      </c>
      <c r="J9" s="37">
        <f t="shared" si="0"/>
        <v>14</v>
      </c>
      <c r="K9" s="37">
        <f t="shared" si="1"/>
        <v>14</v>
      </c>
      <c r="L9" s="37">
        <v>14</v>
      </c>
    </row>
    <row r="10" spans="1:12" ht="15.75" customHeight="1" x14ac:dyDescent="0.2">
      <c r="A10" t="s">
        <v>142</v>
      </c>
      <c r="B10" s="42" t="s">
        <v>36</v>
      </c>
      <c r="C10" s="38"/>
      <c r="D10" s="33" t="s">
        <v>11</v>
      </c>
      <c r="E10" s="35">
        <v>13</v>
      </c>
      <c r="F10" s="35">
        <v>1</v>
      </c>
      <c r="G10" s="35">
        <v>13</v>
      </c>
      <c r="H10" s="35">
        <v>1</v>
      </c>
      <c r="I10" s="36">
        <v>1</v>
      </c>
      <c r="J10" s="37">
        <f t="shared" si="0"/>
        <v>14</v>
      </c>
      <c r="K10" s="37">
        <f t="shared" si="1"/>
        <v>14</v>
      </c>
      <c r="L10" s="37">
        <v>14</v>
      </c>
    </row>
    <row r="11" spans="1:12" ht="15.75" customHeight="1" x14ac:dyDescent="0.2">
      <c r="A11" t="s">
        <v>143</v>
      </c>
      <c r="B11" s="42" t="s">
        <v>37</v>
      </c>
      <c r="C11" s="38"/>
      <c r="D11" s="33" t="s">
        <v>11</v>
      </c>
      <c r="E11" s="35">
        <v>14</v>
      </c>
      <c r="F11" s="35">
        <v>0.5</v>
      </c>
      <c r="G11" s="35">
        <v>14</v>
      </c>
      <c r="H11" s="35">
        <v>0.5</v>
      </c>
      <c r="I11" s="36">
        <v>1</v>
      </c>
      <c r="J11" s="37">
        <f t="shared" si="0"/>
        <v>14.5</v>
      </c>
      <c r="K11" s="37">
        <f t="shared" si="1"/>
        <v>14.5</v>
      </c>
      <c r="L11" s="37">
        <v>14.5</v>
      </c>
    </row>
    <row r="12" spans="1:12" ht="15.75" customHeight="1" x14ac:dyDescent="0.2">
      <c r="A12" t="s">
        <v>132</v>
      </c>
      <c r="B12" s="42" t="s">
        <v>47</v>
      </c>
      <c r="C12" s="38"/>
      <c r="D12" s="33" t="s">
        <v>25</v>
      </c>
      <c r="E12" s="35">
        <v>8</v>
      </c>
      <c r="F12" s="35">
        <v>2</v>
      </c>
      <c r="G12" s="35">
        <v>12</v>
      </c>
      <c r="H12" s="35">
        <v>3</v>
      </c>
      <c r="I12" s="36">
        <v>1</v>
      </c>
      <c r="J12" s="37">
        <f t="shared" si="0"/>
        <v>10</v>
      </c>
      <c r="K12" s="37">
        <f t="shared" si="1"/>
        <v>15</v>
      </c>
      <c r="L12" s="37">
        <v>11</v>
      </c>
    </row>
    <row r="13" spans="1:12" ht="15.75" customHeight="1" x14ac:dyDescent="0.2">
      <c r="A13" t="s">
        <v>135</v>
      </c>
      <c r="B13" s="42" t="s">
        <v>39</v>
      </c>
      <c r="C13" s="38"/>
      <c r="D13" s="33" t="s">
        <v>11</v>
      </c>
      <c r="E13" s="35">
        <v>14</v>
      </c>
      <c r="F13" s="35">
        <v>1</v>
      </c>
      <c r="G13" s="35">
        <v>14</v>
      </c>
      <c r="H13" s="35">
        <v>1</v>
      </c>
      <c r="I13" s="36">
        <v>1</v>
      </c>
      <c r="J13" s="37">
        <f t="shared" si="0"/>
        <v>15</v>
      </c>
      <c r="K13" s="37">
        <f t="shared" si="1"/>
        <v>15</v>
      </c>
      <c r="L13" s="37">
        <v>14</v>
      </c>
    </row>
    <row r="14" spans="1:12" ht="15.75" customHeight="1" x14ac:dyDescent="0.2">
      <c r="A14" t="s">
        <v>136</v>
      </c>
      <c r="B14" s="42" t="s">
        <v>40</v>
      </c>
      <c r="C14" s="38"/>
      <c r="D14" s="33" t="s">
        <v>11</v>
      </c>
      <c r="E14" s="35">
        <v>15</v>
      </c>
      <c r="F14" s="35">
        <v>1</v>
      </c>
      <c r="G14" s="35">
        <v>15</v>
      </c>
      <c r="H14" s="35">
        <v>1</v>
      </c>
      <c r="I14" s="36">
        <v>1</v>
      </c>
      <c r="J14" s="37">
        <f t="shared" si="0"/>
        <v>16</v>
      </c>
      <c r="K14" s="37">
        <f t="shared" si="1"/>
        <v>16</v>
      </c>
      <c r="L14" s="37">
        <v>14</v>
      </c>
    </row>
    <row r="15" spans="1:12" ht="15.75" customHeight="1" x14ac:dyDescent="0.2">
      <c r="A15" t="s">
        <v>137</v>
      </c>
      <c r="B15" s="42" t="s">
        <v>41</v>
      </c>
      <c r="C15" s="38"/>
      <c r="D15" s="33" t="s">
        <v>11</v>
      </c>
      <c r="E15" s="35">
        <v>16</v>
      </c>
      <c r="F15" s="35">
        <v>1</v>
      </c>
      <c r="G15" s="35">
        <v>16</v>
      </c>
      <c r="H15" s="35">
        <v>1</v>
      </c>
      <c r="I15" s="36">
        <v>1</v>
      </c>
      <c r="J15" s="37">
        <f t="shared" si="0"/>
        <v>17</v>
      </c>
      <c r="K15" s="37">
        <f t="shared" si="1"/>
        <v>17</v>
      </c>
      <c r="L15" s="37">
        <v>14</v>
      </c>
    </row>
    <row r="16" spans="1:12" ht="15.75" customHeight="1" x14ac:dyDescent="0.2">
      <c r="A16" t="s">
        <v>138</v>
      </c>
      <c r="B16" s="42" t="s">
        <v>42</v>
      </c>
      <c r="C16" s="38"/>
      <c r="D16" s="33" t="s">
        <v>11</v>
      </c>
      <c r="E16" s="35">
        <v>17</v>
      </c>
      <c r="F16" s="35">
        <v>1</v>
      </c>
      <c r="G16" s="35">
        <v>17</v>
      </c>
      <c r="H16" s="35">
        <v>1</v>
      </c>
      <c r="I16" s="36">
        <v>1</v>
      </c>
      <c r="J16" s="37">
        <f t="shared" si="0"/>
        <v>18</v>
      </c>
      <c r="K16" s="37">
        <f t="shared" si="1"/>
        <v>18</v>
      </c>
      <c r="L16" s="37">
        <v>14</v>
      </c>
    </row>
    <row r="17" spans="1:12" ht="15.75" customHeight="1" x14ac:dyDescent="0.2">
      <c r="A17" t="s">
        <v>144</v>
      </c>
      <c r="B17" s="41" t="s">
        <v>30</v>
      </c>
      <c r="C17" s="34">
        <v>1</v>
      </c>
      <c r="D17" s="33" t="s">
        <v>11</v>
      </c>
      <c r="E17" s="35">
        <v>15</v>
      </c>
      <c r="F17" s="35">
        <v>9</v>
      </c>
      <c r="G17" s="35">
        <v>15</v>
      </c>
      <c r="H17" s="35">
        <v>9</v>
      </c>
      <c r="I17" s="36">
        <v>1</v>
      </c>
      <c r="J17" s="37">
        <f t="shared" si="0"/>
        <v>24</v>
      </c>
      <c r="K17" s="37">
        <f t="shared" si="1"/>
        <v>24</v>
      </c>
      <c r="L17" s="37">
        <v>24</v>
      </c>
    </row>
    <row r="18" spans="1:12" ht="15.75" customHeight="1" x14ac:dyDescent="0.2">
      <c r="A18" t="s">
        <v>146</v>
      </c>
      <c r="B18" s="42" t="s">
        <v>48</v>
      </c>
      <c r="C18" s="38">
        <v>2</v>
      </c>
      <c r="D18" s="33" t="s">
        <v>22</v>
      </c>
      <c r="E18" s="35">
        <v>26</v>
      </c>
      <c r="F18" s="35">
        <v>0.5</v>
      </c>
      <c r="G18" s="35">
        <v>27</v>
      </c>
      <c r="H18" s="35">
        <v>1</v>
      </c>
      <c r="I18" s="36">
        <v>1</v>
      </c>
      <c r="J18" s="37">
        <f t="shared" si="0"/>
        <v>26.5</v>
      </c>
      <c r="K18" s="37">
        <f t="shared" si="1"/>
        <v>28</v>
      </c>
      <c r="L18" s="37">
        <v>28</v>
      </c>
    </row>
    <row r="19" spans="1:12" ht="15.75" customHeight="1" x14ac:dyDescent="0.2">
      <c r="A19">
        <v>2</v>
      </c>
      <c r="B19" s="41" t="s">
        <v>8</v>
      </c>
      <c r="C19" s="34">
        <v>1</v>
      </c>
      <c r="D19" s="33" t="s">
        <v>11</v>
      </c>
      <c r="E19" s="35">
        <v>15</v>
      </c>
      <c r="F19" s="35">
        <v>14</v>
      </c>
      <c r="G19" s="35">
        <v>15</v>
      </c>
      <c r="H19" s="35">
        <v>14</v>
      </c>
      <c r="I19" s="36">
        <v>1</v>
      </c>
      <c r="J19" s="37">
        <f t="shared" si="0"/>
        <v>29</v>
      </c>
      <c r="K19" s="37">
        <f t="shared" si="1"/>
        <v>29</v>
      </c>
      <c r="L19" s="37">
        <v>15</v>
      </c>
    </row>
    <row r="20" spans="1:12" ht="15.75" customHeight="1" x14ac:dyDescent="0.2">
      <c r="A20" t="s">
        <v>147</v>
      </c>
      <c r="B20" s="42" t="s">
        <v>49</v>
      </c>
      <c r="C20" s="38">
        <v>2</v>
      </c>
      <c r="D20" s="33" t="s">
        <v>22</v>
      </c>
      <c r="E20" s="35">
        <v>27</v>
      </c>
      <c r="F20" s="35">
        <v>0.5</v>
      </c>
      <c r="G20" s="35">
        <v>28</v>
      </c>
      <c r="H20" s="35">
        <v>1</v>
      </c>
      <c r="I20" s="36">
        <v>1</v>
      </c>
      <c r="J20" s="37">
        <f t="shared" si="0"/>
        <v>27.5</v>
      </c>
      <c r="K20" s="37">
        <f t="shared" si="1"/>
        <v>29</v>
      </c>
      <c r="L20" s="37">
        <v>29</v>
      </c>
    </row>
    <row r="21" spans="1:12" ht="15.75" customHeight="1" x14ac:dyDescent="0.2">
      <c r="A21" t="s">
        <v>164</v>
      </c>
      <c r="B21" s="42" t="s">
        <v>48</v>
      </c>
      <c r="C21" s="38">
        <v>2</v>
      </c>
      <c r="D21" s="33" t="s">
        <v>113</v>
      </c>
      <c r="E21" s="35">
        <v>28</v>
      </c>
      <c r="F21" s="35">
        <v>1</v>
      </c>
      <c r="G21" s="35">
        <v>28</v>
      </c>
      <c r="H21" s="35">
        <v>1</v>
      </c>
      <c r="I21" s="36">
        <v>1</v>
      </c>
      <c r="J21" s="37">
        <f t="shared" si="0"/>
        <v>29</v>
      </c>
      <c r="K21" s="37">
        <f t="shared" si="1"/>
        <v>29</v>
      </c>
      <c r="L21" s="37">
        <v>38</v>
      </c>
    </row>
    <row r="22" spans="1:12" ht="15.75" customHeight="1" x14ac:dyDescent="0.2">
      <c r="A22" t="s">
        <v>148</v>
      </c>
      <c r="B22" s="42" t="s">
        <v>50</v>
      </c>
      <c r="C22" s="38">
        <v>2</v>
      </c>
      <c r="D22" s="33" t="s">
        <v>22</v>
      </c>
      <c r="E22" s="35">
        <v>28</v>
      </c>
      <c r="F22" s="35">
        <v>1</v>
      </c>
      <c r="G22" s="35">
        <v>29</v>
      </c>
      <c r="H22" s="35">
        <v>2</v>
      </c>
      <c r="I22" s="36">
        <v>1</v>
      </c>
      <c r="J22" s="37">
        <f t="shared" si="0"/>
        <v>29</v>
      </c>
      <c r="K22" s="37">
        <f t="shared" si="1"/>
        <v>31</v>
      </c>
      <c r="L22" s="37">
        <v>29</v>
      </c>
    </row>
    <row r="23" spans="1:12" ht="15.75" customHeight="1" x14ac:dyDescent="0.2">
      <c r="A23" t="s">
        <v>165</v>
      </c>
      <c r="B23" s="42" t="s">
        <v>85</v>
      </c>
      <c r="C23" s="38">
        <v>2</v>
      </c>
      <c r="D23" s="33" t="s">
        <v>113</v>
      </c>
      <c r="E23" s="35">
        <v>29</v>
      </c>
      <c r="F23" s="35">
        <v>1</v>
      </c>
      <c r="G23" s="35">
        <v>29</v>
      </c>
      <c r="H23" s="35">
        <v>2</v>
      </c>
      <c r="I23" s="36">
        <v>1</v>
      </c>
      <c r="J23" s="37">
        <f t="shared" si="0"/>
        <v>30</v>
      </c>
      <c r="K23" s="37">
        <f t="shared" si="1"/>
        <v>31</v>
      </c>
      <c r="L23" s="37">
        <v>39</v>
      </c>
    </row>
    <row r="24" spans="1:12" ht="15.75" customHeight="1" x14ac:dyDescent="0.2">
      <c r="A24" t="s">
        <v>166</v>
      </c>
      <c r="B24" s="42" t="s">
        <v>86</v>
      </c>
      <c r="C24" s="38">
        <v>2</v>
      </c>
      <c r="D24" s="33" t="s">
        <v>113</v>
      </c>
      <c r="E24" s="35">
        <v>30</v>
      </c>
      <c r="F24" s="35">
        <v>2</v>
      </c>
      <c r="G24" s="35">
        <v>31</v>
      </c>
      <c r="H24" s="35">
        <v>2</v>
      </c>
      <c r="I24" s="36">
        <v>1</v>
      </c>
      <c r="J24" s="37">
        <f t="shared" si="0"/>
        <v>32</v>
      </c>
      <c r="K24" s="37">
        <f t="shared" si="1"/>
        <v>33</v>
      </c>
      <c r="L24" s="37">
        <v>39</v>
      </c>
    </row>
    <row r="25" spans="1:12" ht="15.75" customHeight="1" x14ac:dyDescent="0.2">
      <c r="A25" t="s">
        <v>149</v>
      </c>
      <c r="B25" s="42" t="s">
        <v>51</v>
      </c>
      <c r="C25" s="38">
        <v>2</v>
      </c>
      <c r="D25" s="33" t="s">
        <v>22</v>
      </c>
      <c r="E25" s="35">
        <v>29</v>
      </c>
      <c r="F25" s="35">
        <v>1.5</v>
      </c>
      <c r="G25" s="35">
        <v>31</v>
      </c>
      <c r="H25" s="35">
        <v>3</v>
      </c>
      <c r="I25" s="36">
        <v>1</v>
      </c>
      <c r="J25" s="37">
        <f t="shared" si="0"/>
        <v>30.5</v>
      </c>
      <c r="K25" s="37">
        <f t="shared" si="1"/>
        <v>34</v>
      </c>
      <c r="L25" s="37">
        <v>31</v>
      </c>
    </row>
    <row r="26" spans="1:12" ht="15.75" customHeight="1" x14ac:dyDescent="0.2">
      <c r="A26" t="s">
        <v>156</v>
      </c>
      <c r="B26" s="42" t="s">
        <v>83</v>
      </c>
      <c r="C26" s="38">
        <v>2</v>
      </c>
      <c r="D26" s="33" t="s">
        <v>24</v>
      </c>
      <c r="E26" s="35">
        <v>26</v>
      </c>
      <c r="F26" s="35">
        <v>7</v>
      </c>
      <c r="G26" s="35">
        <v>26</v>
      </c>
      <c r="H26" s="35">
        <v>8</v>
      </c>
      <c r="I26" s="36">
        <v>1</v>
      </c>
      <c r="J26" s="37">
        <f t="shared" si="0"/>
        <v>33</v>
      </c>
      <c r="K26" s="37">
        <f t="shared" si="1"/>
        <v>34</v>
      </c>
      <c r="L26" s="37">
        <v>36</v>
      </c>
    </row>
    <row r="27" spans="1:12" ht="15.75" customHeight="1" x14ac:dyDescent="0.2">
      <c r="A27" t="s">
        <v>167</v>
      </c>
      <c r="B27" s="42" t="s">
        <v>87</v>
      </c>
      <c r="C27" s="38">
        <v>2</v>
      </c>
      <c r="D27" s="33" t="s">
        <v>113</v>
      </c>
      <c r="E27" s="35">
        <v>32</v>
      </c>
      <c r="F27" s="35">
        <v>1</v>
      </c>
      <c r="G27" s="35">
        <v>33</v>
      </c>
      <c r="H27" s="35">
        <v>1</v>
      </c>
      <c r="I27" s="36">
        <v>0</v>
      </c>
      <c r="J27" s="37">
        <f t="shared" si="0"/>
        <v>33</v>
      </c>
      <c r="K27" s="37">
        <f t="shared" si="1"/>
        <v>34</v>
      </c>
      <c r="L27" s="37">
        <v>39</v>
      </c>
    </row>
    <row r="28" spans="1:12" ht="15.75" customHeight="1" x14ac:dyDescent="0.2">
      <c r="A28" t="s">
        <v>168</v>
      </c>
      <c r="B28" s="42" t="s">
        <v>88</v>
      </c>
      <c r="C28" s="38">
        <v>2</v>
      </c>
      <c r="D28" s="33" t="s">
        <v>113</v>
      </c>
      <c r="E28" s="35">
        <v>33</v>
      </c>
      <c r="F28" s="35">
        <v>1</v>
      </c>
      <c r="G28" s="35">
        <v>34</v>
      </c>
      <c r="H28" s="35">
        <v>2</v>
      </c>
      <c r="I28" s="36">
        <v>0</v>
      </c>
      <c r="J28" s="37">
        <f t="shared" si="0"/>
        <v>34</v>
      </c>
      <c r="K28" s="37">
        <f t="shared" si="1"/>
        <v>36</v>
      </c>
      <c r="L28" s="37">
        <v>39</v>
      </c>
    </row>
    <row r="29" spans="1:12" ht="15.75" customHeight="1" x14ac:dyDescent="0.2">
      <c r="A29" t="s">
        <v>150</v>
      </c>
      <c r="B29" s="42" t="s">
        <v>52</v>
      </c>
      <c r="C29" s="38">
        <v>2</v>
      </c>
      <c r="D29" s="33" t="s">
        <v>22</v>
      </c>
      <c r="E29" s="35">
        <v>30</v>
      </c>
      <c r="F29" s="35">
        <v>1.5</v>
      </c>
      <c r="G29" s="35">
        <v>34</v>
      </c>
      <c r="H29" s="35">
        <v>3</v>
      </c>
      <c r="I29" s="36">
        <v>1</v>
      </c>
      <c r="J29" s="37">
        <f t="shared" si="0"/>
        <v>31.5</v>
      </c>
      <c r="K29" s="37">
        <f t="shared" si="1"/>
        <v>37</v>
      </c>
      <c r="L29" s="37">
        <v>31</v>
      </c>
    </row>
    <row r="30" spans="1:12" ht="15.75" customHeight="1" x14ac:dyDescent="0.2">
      <c r="A30" t="s">
        <v>159</v>
      </c>
      <c r="B30" s="42" t="s">
        <v>79</v>
      </c>
      <c r="C30" s="38">
        <v>2</v>
      </c>
      <c r="D30" s="33" t="s">
        <v>26</v>
      </c>
      <c r="E30" s="35">
        <v>36</v>
      </c>
      <c r="F30" s="35">
        <v>1</v>
      </c>
      <c r="G30" s="35">
        <v>36</v>
      </c>
      <c r="H30" s="35">
        <v>1</v>
      </c>
      <c r="I30" s="36">
        <v>1</v>
      </c>
      <c r="J30" s="37">
        <f t="shared" si="0"/>
        <v>37</v>
      </c>
      <c r="K30" s="37">
        <f t="shared" si="1"/>
        <v>37</v>
      </c>
      <c r="L30" s="37">
        <v>37</v>
      </c>
    </row>
    <row r="31" spans="1:12" ht="15.75" customHeight="1" x14ac:dyDescent="0.2">
      <c r="A31" t="s">
        <v>151</v>
      </c>
      <c r="B31" s="42" t="s">
        <v>53</v>
      </c>
      <c r="C31" s="38">
        <v>2</v>
      </c>
      <c r="D31" s="33" t="s">
        <v>22</v>
      </c>
      <c r="E31" s="35">
        <v>31</v>
      </c>
      <c r="F31" s="35">
        <v>0.5</v>
      </c>
      <c r="G31" s="35">
        <v>37</v>
      </c>
      <c r="H31" s="35">
        <v>1</v>
      </c>
      <c r="I31" s="36">
        <v>1</v>
      </c>
      <c r="J31" s="37">
        <f t="shared" si="0"/>
        <v>31.5</v>
      </c>
      <c r="K31" s="37">
        <f t="shared" si="1"/>
        <v>38</v>
      </c>
      <c r="L31" s="37">
        <v>33</v>
      </c>
    </row>
    <row r="32" spans="1:12" ht="15.75" customHeight="1" x14ac:dyDescent="0.2">
      <c r="A32" t="s">
        <v>160</v>
      </c>
      <c r="B32" s="42" t="s">
        <v>80</v>
      </c>
      <c r="C32" s="38">
        <v>2</v>
      </c>
      <c r="D32" s="33" t="s">
        <v>26</v>
      </c>
      <c r="E32" s="35">
        <v>37</v>
      </c>
      <c r="F32" s="35">
        <v>1</v>
      </c>
      <c r="G32" s="35">
        <v>37</v>
      </c>
      <c r="H32" s="35">
        <v>1</v>
      </c>
      <c r="I32" s="36">
        <v>1</v>
      </c>
      <c r="J32" s="37">
        <f t="shared" si="0"/>
        <v>38</v>
      </c>
      <c r="K32" s="37">
        <f t="shared" si="1"/>
        <v>38</v>
      </c>
      <c r="L32" s="37">
        <v>38</v>
      </c>
    </row>
    <row r="33" spans="1:12" ht="15.75" customHeight="1" x14ac:dyDescent="0.2">
      <c r="A33" t="s">
        <v>169</v>
      </c>
      <c r="B33" s="42" t="s">
        <v>89</v>
      </c>
      <c r="C33" s="38">
        <v>2</v>
      </c>
      <c r="D33" s="33" t="s">
        <v>113</v>
      </c>
      <c r="E33" s="35">
        <v>34</v>
      </c>
      <c r="F33" s="35">
        <v>2</v>
      </c>
      <c r="G33" s="35">
        <v>36</v>
      </c>
      <c r="H33" s="35">
        <v>2</v>
      </c>
      <c r="I33" s="36">
        <v>1</v>
      </c>
      <c r="J33" s="37">
        <f t="shared" si="0"/>
        <v>36</v>
      </c>
      <c r="K33" s="37">
        <f t="shared" si="1"/>
        <v>38</v>
      </c>
      <c r="L33" s="37">
        <v>40</v>
      </c>
    </row>
    <row r="34" spans="1:12" ht="15.75" customHeight="1" x14ac:dyDescent="0.2">
      <c r="A34" t="s">
        <v>172</v>
      </c>
      <c r="B34" s="42" t="s">
        <v>57</v>
      </c>
      <c r="C34" s="38">
        <v>2</v>
      </c>
      <c r="D34" s="33" t="s">
        <v>25</v>
      </c>
      <c r="E34" s="35">
        <v>36</v>
      </c>
      <c r="F34" s="35">
        <v>2</v>
      </c>
      <c r="G34" s="35">
        <v>36</v>
      </c>
      <c r="H34" s="35">
        <v>2</v>
      </c>
      <c r="I34" s="36">
        <v>1</v>
      </c>
      <c r="J34" s="37">
        <f t="shared" si="0"/>
        <v>38</v>
      </c>
      <c r="K34" s="37">
        <f t="shared" si="1"/>
        <v>38</v>
      </c>
      <c r="L34" s="37">
        <v>40</v>
      </c>
    </row>
    <row r="35" spans="1:12" ht="15.75" customHeight="1" x14ac:dyDescent="0.2">
      <c r="A35" t="s">
        <v>161</v>
      </c>
      <c r="B35" s="42" t="s">
        <v>81</v>
      </c>
      <c r="C35" s="38">
        <v>2</v>
      </c>
      <c r="D35" s="33" t="s">
        <v>26</v>
      </c>
      <c r="E35" s="35">
        <v>38</v>
      </c>
      <c r="F35" s="35">
        <v>1</v>
      </c>
      <c r="G35" s="35">
        <v>38</v>
      </c>
      <c r="H35" s="35">
        <v>1</v>
      </c>
      <c r="I35" s="36">
        <v>1</v>
      </c>
      <c r="J35" s="37">
        <f t="shared" ref="J35:J66" si="2">+E35+F35</f>
        <v>39</v>
      </c>
      <c r="K35" s="37">
        <f t="shared" ref="K35:K66" si="3">+G35+H35</f>
        <v>39</v>
      </c>
      <c r="L35" s="37">
        <v>38</v>
      </c>
    </row>
    <row r="36" spans="1:12" ht="15.75" customHeight="1" x14ac:dyDescent="0.2">
      <c r="A36" t="s">
        <v>173</v>
      </c>
      <c r="B36" s="42" t="s">
        <v>58</v>
      </c>
      <c r="C36" s="38">
        <v>2</v>
      </c>
      <c r="D36" s="33" t="s">
        <v>25</v>
      </c>
      <c r="E36" s="35">
        <v>38</v>
      </c>
      <c r="F36" s="35">
        <v>1</v>
      </c>
      <c r="G36" s="35">
        <v>38</v>
      </c>
      <c r="H36" s="35">
        <v>1</v>
      </c>
      <c r="I36" s="36">
        <v>1</v>
      </c>
      <c r="J36" s="37">
        <f t="shared" si="2"/>
        <v>39</v>
      </c>
      <c r="K36" s="37">
        <f t="shared" si="3"/>
        <v>39</v>
      </c>
      <c r="L36" s="37">
        <v>40</v>
      </c>
    </row>
    <row r="37" spans="1:12" ht="15.75" customHeight="1" x14ac:dyDescent="0.2">
      <c r="A37" t="s">
        <v>152</v>
      </c>
      <c r="B37" s="42" t="s">
        <v>54</v>
      </c>
      <c r="C37" s="38">
        <v>2</v>
      </c>
      <c r="D37" s="33" t="s">
        <v>22</v>
      </c>
      <c r="E37" s="35">
        <v>32</v>
      </c>
      <c r="F37" s="35">
        <v>1</v>
      </c>
      <c r="G37" s="35">
        <v>38</v>
      </c>
      <c r="H37" s="35">
        <v>2</v>
      </c>
      <c r="I37" s="36">
        <v>1</v>
      </c>
      <c r="J37" s="37">
        <f t="shared" si="2"/>
        <v>33</v>
      </c>
      <c r="K37" s="37">
        <f t="shared" si="3"/>
        <v>40</v>
      </c>
      <c r="L37" s="37">
        <v>34</v>
      </c>
    </row>
    <row r="38" spans="1:12" ht="15.75" customHeight="1" x14ac:dyDescent="0.2">
      <c r="A38" t="s">
        <v>162</v>
      </c>
      <c r="B38" s="42" t="s">
        <v>82</v>
      </c>
      <c r="C38" s="38">
        <v>2</v>
      </c>
      <c r="D38" s="33" t="s">
        <v>26</v>
      </c>
      <c r="E38" s="35">
        <v>39</v>
      </c>
      <c r="F38" s="35">
        <v>1</v>
      </c>
      <c r="G38" s="35">
        <v>39</v>
      </c>
      <c r="H38" s="35">
        <v>1</v>
      </c>
      <c r="I38" s="36">
        <v>1</v>
      </c>
      <c r="J38" s="37">
        <f t="shared" si="2"/>
        <v>40</v>
      </c>
      <c r="K38" s="37">
        <f t="shared" si="3"/>
        <v>40</v>
      </c>
      <c r="L38" s="37">
        <v>38</v>
      </c>
    </row>
    <row r="39" spans="1:12" ht="15.75" customHeight="1" x14ac:dyDescent="0.2">
      <c r="A39" t="s">
        <v>170</v>
      </c>
      <c r="B39" s="42" t="s">
        <v>90</v>
      </c>
      <c r="C39" s="38">
        <v>2</v>
      </c>
      <c r="D39" s="33" t="s">
        <v>113</v>
      </c>
      <c r="E39" s="35">
        <v>36</v>
      </c>
      <c r="F39" s="35">
        <v>1</v>
      </c>
      <c r="G39" s="35">
        <v>38</v>
      </c>
      <c r="H39" s="35">
        <v>2</v>
      </c>
      <c r="I39" s="36">
        <v>1</v>
      </c>
      <c r="J39" s="37">
        <f t="shared" si="2"/>
        <v>37</v>
      </c>
      <c r="K39" s="37">
        <f t="shared" si="3"/>
        <v>40</v>
      </c>
      <c r="L39" s="37">
        <v>40</v>
      </c>
    </row>
    <row r="40" spans="1:12" ht="15.75" customHeight="1" x14ac:dyDescent="0.2">
      <c r="A40" t="s">
        <v>178</v>
      </c>
      <c r="B40" s="42" t="s">
        <v>99</v>
      </c>
      <c r="C40" s="38"/>
      <c r="D40" s="33" t="s">
        <v>11</v>
      </c>
      <c r="E40" s="35">
        <v>37</v>
      </c>
      <c r="F40" s="35">
        <v>3</v>
      </c>
      <c r="G40" s="35">
        <v>37</v>
      </c>
      <c r="H40" s="35">
        <v>3</v>
      </c>
      <c r="I40" s="36">
        <v>1</v>
      </c>
      <c r="J40" s="37">
        <f t="shared" si="2"/>
        <v>40</v>
      </c>
      <c r="K40" s="37">
        <f t="shared" si="3"/>
        <v>40</v>
      </c>
      <c r="L40" s="37">
        <v>40</v>
      </c>
    </row>
    <row r="41" spans="1:12" ht="15.75" customHeight="1" x14ac:dyDescent="0.2">
      <c r="A41" t="s">
        <v>179</v>
      </c>
      <c r="B41" s="42" t="s">
        <v>100</v>
      </c>
      <c r="C41" s="38"/>
      <c r="D41" s="33" t="s">
        <v>11</v>
      </c>
      <c r="E41" s="35">
        <v>37</v>
      </c>
      <c r="F41" s="35">
        <v>3</v>
      </c>
      <c r="G41" s="35">
        <v>37</v>
      </c>
      <c r="H41" s="35">
        <v>3</v>
      </c>
      <c r="I41" s="36">
        <v>0</v>
      </c>
      <c r="J41" s="37">
        <f t="shared" si="2"/>
        <v>40</v>
      </c>
      <c r="K41" s="37">
        <f t="shared" si="3"/>
        <v>40</v>
      </c>
      <c r="L41" s="37">
        <v>40</v>
      </c>
    </row>
    <row r="42" spans="1:12" ht="15.75" customHeight="1" x14ac:dyDescent="0.2">
      <c r="A42" t="s">
        <v>180</v>
      </c>
      <c r="B42" s="42" t="s">
        <v>101</v>
      </c>
      <c r="C42" s="38"/>
      <c r="D42" s="33" t="s">
        <v>11</v>
      </c>
      <c r="E42" s="35">
        <v>37</v>
      </c>
      <c r="F42" s="35">
        <v>3</v>
      </c>
      <c r="G42" s="35">
        <v>37</v>
      </c>
      <c r="H42" s="35">
        <v>3</v>
      </c>
      <c r="I42" s="36">
        <v>1</v>
      </c>
      <c r="J42" s="37">
        <f t="shared" si="2"/>
        <v>40</v>
      </c>
      <c r="K42" s="37">
        <f t="shared" si="3"/>
        <v>40</v>
      </c>
      <c r="L42" s="37">
        <v>41</v>
      </c>
    </row>
    <row r="43" spans="1:12" ht="15.75" customHeight="1" x14ac:dyDescent="0.2">
      <c r="A43" t="s">
        <v>181</v>
      </c>
      <c r="B43" s="42" t="s">
        <v>102</v>
      </c>
      <c r="C43" s="38"/>
      <c r="D43" s="33" t="s">
        <v>11</v>
      </c>
      <c r="E43" s="35">
        <v>37</v>
      </c>
      <c r="F43" s="35">
        <v>3</v>
      </c>
      <c r="G43" s="35">
        <v>37</v>
      </c>
      <c r="H43" s="35">
        <v>3</v>
      </c>
      <c r="I43" s="36">
        <v>0</v>
      </c>
      <c r="J43" s="37">
        <f t="shared" si="2"/>
        <v>40</v>
      </c>
      <c r="K43" s="37">
        <f t="shared" si="3"/>
        <v>40</v>
      </c>
      <c r="L43" s="37">
        <v>41</v>
      </c>
    </row>
    <row r="44" spans="1:12" ht="15.75" customHeight="1" x14ac:dyDescent="0.2">
      <c r="A44" t="s">
        <v>182</v>
      </c>
      <c r="B44" s="42" t="s">
        <v>103</v>
      </c>
      <c r="C44" s="38"/>
      <c r="D44" s="33" t="s">
        <v>11</v>
      </c>
      <c r="E44" s="35">
        <v>37</v>
      </c>
      <c r="F44" s="35">
        <v>3</v>
      </c>
      <c r="G44" s="35">
        <v>37</v>
      </c>
      <c r="H44" s="35">
        <v>3</v>
      </c>
      <c r="I44" s="36">
        <v>1</v>
      </c>
      <c r="J44" s="37">
        <f t="shared" si="2"/>
        <v>40</v>
      </c>
      <c r="K44" s="37">
        <f t="shared" si="3"/>
        <v>40</v>
      </c>
      <c r="L44" s="37">
        <v>42</v>
      </c>
    </row>
    <row r="45" spans="1:12" ht="15.75" customHeight="1" x14ac:dyDescent="0.2">
      <c r="A45" t="s">
        <v>174</v>
      </c>
      <c r="B45" s="42" t="s">
        <v>59</v>
      </c>
      <c r="C45" s="38">
        <v>2</v>
      </c>
      <c r="D45" s="33" t="s">
        <v>25</v>
      </c>
      <c r="E45" s="35">
        <v>39</v>
      </c>
      <c r="F45" s="35">
        <v>2</v>
      </c>
      <c r="G45" s="35">
        <v>39</v>
      </c>
      <c r="H45" s="35">
        <v>2</v>
      </c>
      <c r="I45" s="36">
        <v>1</v>
      </c>
      <c r="J45" s="37">
        <f t="shared" si="2"/>
        <v>41</v>
      </c>
      <c r="K45" s="37">
        <f t="shared" si="3"/>
        <v>41</v>
      </c>
      <c r="L45" s="37">
        <v>40</v>
      </c>
    </row>
    <row r="46" spans="1:12" ht="15.75" customHeight="1" x14ac:dyDescent="0.2">
      <c r="A46" t="s">
        <v>175</v>
      </c>
      <c r="B46" s="42" t="s">
        <v>60</v>
      </c>
      <c r="C46" s="38">
        <v>2</v>
      </c>
      <c r="D46" s="33" t="s">
        <v>25</v>
      </c>
      <c r="E46" s="35">
        <v>41</v>
      </c>
      <c r="F46" s="35">
        <v>2</v>
      </c>
      <c r="G46" s="35">
        <v>41</v>
      </c>
      <c r="H46" s="35">
        <v>1</v>
      </c>
      <c r="I46" s="36">
        <v>1</v>
      </c>
      <c r="J46" s="37">
        <f t="shared" si="2"/>
        <v>43</v>
      </c>
      <c r="K46" s="37">
        <f t="shared" si="3"/>
        <v>42</v>
      </c>
      <c r="L46" s="37">
        <v>40</v>
      </c>
    </row>
    <row r="47" spans="1:12" ht="15.75" customHeight="1" x14ac:dyDescent="0.2">
      <c r="A47" t="s">
        <v>153</v>
      </c>
      <c r="B47" s="42" t="s">
        <v>55</v>
      </c>
      <c r="C47" s="38">
        <v>2</v>
      </c>
      <c r="D47" s="33" t="s">
        <v>22</v>
      </c>
      <c r="E47" s="35">
        <v>33</v>
      </c>
      <c r="F47" s="35">
        <v>1.5</v>
      </c>
      <c r="G47" s="35">
        <v>40</v>
      </c>
      <c r="H47" s="35">
        <v>3</v>
      </c>
      <c r="I47" s="36">
        <v>1</v>
      </c>
      <c r="J47" s="37">
        <f t="shared" si="2"/>
        <v>34.5</v>
      </c>
      <c r="K47" s="37">
        <f t="shared" si="3"/>
        <v>43</v>
      </c>
      <c r="L47" s="37">
        <v>34</v>
      </c>
    </row>
    <row r="48" spans="1:12" ht="15.75" customHeight="1" x14ac:dyDescent="0.2">
      <c r="A48" t="s">
        <v>154</v>
      </c>
      <c r="B48" s="42" t="s">
        <v>56</v>
      </c>
      <c r="C48" s="38">
        <v>2</v>
      </c>
      <c r="D48" s="33" t="s">
        <v>22</v>
      </c>
      <c r="E48" s="35">
        <v>34</v>
      </c>
      <c r="F48" s="35">
        <v>0.5</v>
      </c>
      <c r="G48" s="35">
        <v>42</v>
      </c>
      <c r="H48" s="35">
        <v>1</v>
      </c>
      <c r="I48" s="36">
        <v>1</v>
      </c>
      <c r="J48" s="37">
        <f t="shared" si="2"/>
        <v>34.5</v>
      </c>
      <c r="K48" s="37">
        <f t="shared" si="3"/>
        <v>43</v>
      </c>
      <c r="L48" s="37">
        <v>34</v>
      </c>
    </row>
    <row r="49" spans="1:12" ht="15.75" customHeight="1" x14ac:dyDescent="0.2">
      <c r="A49" t="s">
        <v>157</v>
      </c>
      <c r="B49" s="42" t="s">
        <v>84</v>
      </c>
      <c r="C49" s="38">
        <v>2</v>
      </c>
      <c r="D49" s="33" t="s">
        <v>24</v>
      </c>
      <c r="E49" s="35">
        <v>33</v>
      </c>
      <c r="F49" s="35">
        <v>7</v>
      </c>
      <c r="G49" s="35">
        <v>34</v>
      </c>
      <c r="H49" s="35">
        <v>9</v>
      </c>
      <c r="I49" s="36">
        <v>1</v>
      </c>
      <c r="J49" s="37">
        <f t="shared" si="2"/>
        <v>40</v>
      </c>
      <c r="K49" s="37">
        <f t="shared" si="3"/>
        <v>43</v>
      </c>
      <c r="L49" s="37">
        <v>37</v>
      </c>
    </row>
    <row r="50" spans="1:12" ht="15.75" customHeight="1" x14ac:dyDescent="0.2">
      <c r="A50" t="s">
        <v>176</v>
      </c>
      <c r="B50" s="42" t="s">
        <v>61</v>
      </c>
      <c r="C50" s="38">
        <v>2</v>
      </c>
      <c r="D50" s="33" t="s">
        <v>25</v>
      </c>
      <c r="E50" s="35">
        <v>43</v>
      </c>
      <c r="F50" s="35">
        <v>2</v>
      </c>
      <c r="G50" s="35">
        <v>42</v>
      </c>
      <c r="H50" s="35">
        <v>1</v>
      </c>
      <c r="I50" s="36">
        <v>1</v>
      </c>
      <c r="J50" s="37">
        <f t="shared" si="2"/>
        <v>45</v>
      </c>
      <c r="K50" s="37">
        <f t="shared" si="3"/>
        <v>43</v>
      </c>
      <c r="L50" s="37">
        <v>40</v>
      </c>
    </row>
    <row r="51" spans="1:12" ht="15.75" customHeight="1" x14ac:dyDescent="0.2">
      <c r="A51" t="s">
        <v>184</v>
      </c>
      <c r="B51" s="42" t="s">
        <v>99</v>
      </c>
      <c r="C51" s="38"/>
      <c r="D51" s="33" t="s">
        <v>11</v>
      </c>
      <c r="E51" s="35">
        <v>40</v>
      </c>
      <c r="F51" s="35">
        <v>3</v>
      </c>
      <c r="G51" s="35">
        <v>40</v>
      </c>
      <c r="H51" s="35">
        <v>3</v>
      </c>
      <c r="I51" s="36">
        <v>0</v>
      </c>
      <c r="J51" s="37">
        <f t="shared" si="2"/>
        <v>43</v>
      </c>
      <c r="K51" s="37">
        <f t="shared" si="3"/>
        <v>43</v>
      </c>
      <c r="L51" s="37">
        <v>42</v>
      </c>
    </row>
    <row r="52" spans="1:12" ht="15.75" customHeight="1" x14ac:dyDescent="0.2">
      <c r="A52" t="s">
        <v>185</v>
      </c>
      <c r="B52" s="42" t="s">
        <v>100</v>
      </c>
      <c r="C52" s="38"/>
      <c r="D52" s="33" t="s">
        <v>11</v>
      </c>
      <c r="E52" s="35">
        <v>40</v>
      </c>
      <c r="F52" s="35">
        <v>3</v>
      </c>
      <c r="G52" s="35">
        <v>40</v>
      </c>
      <c r="H52" s="35">
        <v>3</v>
      </c>
      <c r="I52" s="36">
        <v>1</v>
      </c>
      <c r="J52" s="37">
        <f t="shared" si="2"/>
        <v>43</v>
      </c>
      <c r="K52" s="37">
        <f t="shared" si="3"/>
        <v>43</v>
      </c>
      <c r="L52" s="37">
        <v>43</v>
      </c>
    </row>
    <row r="53" spans="1:12" ht="15.75" customHeight="1" x14ac:dyDescent="0.2">
      <c r="A53" t="s">
        <v>186</v>
      </c>
      <c r="B53" s="42" t="s">
        <v>101</v>
      </c>
      <c r="C53" s="38"/>
      <c r="D53" s="33" t="s">
        <v>11</v>
      </c>
      <c r="E53" s="35">
        <v>40</v>
      </c>
      <c r="F53" s="35">
        <v>3</v>
      </c>
      <c r="G53" s="35">
        <v>40</v>
      </c>
      <c r="H53" s="35">
        <v>3</v>
      </c>
      <c r="I53" s="36">
        <v>1</v>
      </c>
      <c r="J53" s="37">
        <f t="shared" si="2"/>
        <v>43</v>
      </c>
      <c r="K53" s="37">
        <f t="shared" si="3"/>
        <v>43</v>
      </c>
      <c r="L53" s="37">
        <v>43</v>
      </c>
    </row>
    <row r="54" spans="1:12" ht="15.75" customHeight="1" x14ac:dyDescent="0.2">
      <c r="A54" t="s">
        <v>187</v>
      </c>
      <c r="B54" s="42" t="s">
        <v>102</v>
      </c>
      <c r="C54" s="38"/>
      <c r="D54" s="33" t="s">
        <v>11</v>
      </c>
      <c r="E54" s="35">
        <v>40</v>
      </c>
      <c r="F54" s="35">
        <v>3</v>
      </c>
      <c r="G54" s="35">
        <v>40</v>
      </c>
      <c r="H54" s="35">
        <v>3</v>
      </c>
      <c r="I54" s="36">
        <v>1</v>
      </c>
      <c r="J54" s="37">
        <f t="shared" si="2"/>
        <v>43</v>
      </c>
      <c r="K54" s="37">
        <f t="shared" si="3"/>
        <v>43</v>
      </c>
      <c r="L54" s="37">
        <v>43</v>
      </c>
    </row>
    <row r="55" spans="1:12" ht="15.75" customHeight="1" x14ac:dyDescent="0.2">
      <c r="A55" t="s">
        <v>188</v>
      </c>
      <c r="B55" s="42" t="s">
        <v>103</v>
      </c>
      <c r="C55" s="38"/>
      <c r="D55" s="33" t="s">
        <v>11</v>
      </c>
      <c r="E55" s="35">
        <v>40</v>
      </c>
      <c r="F55" s="35">
        <v>3</v>
      </c>
      <c r="G55" s="35">
        <v>40</v>
      </c>
      <c r="H55" s="35">
        <v>3</v>
      </c>
      <c r="I55" s="36">
        <v>1</v>
      </c>
      <c r="J55" s="37">
        <f t="shared" si="2"/>
        <v>43</v>
      </c>
      <c r="K55" s="37">
        <f t="shared" si="3"/>
        <v>43</v>
      </c>
      <c r="L55" s="37">
        <v>43</v>
      </c>
    </row>
    <row r="56" spans="1:12" ht="15.75" customHeight="1" x14ac:dyDescent="0.2">
      <c r="A56" t="s">
        <v>190</v>
      </c>
      <c r="B56" s="42" t="s">
        <v>105</v>
      </c>
      <c r="C56" s="38">
        <v>3</v>
      </c>
      <c r="D56" s="33" t="s">
        <v>93</v>
      </c>
      <c r="E56" s="35">
        <v>39</v>
      </c>
      <c r="F56" s="35">
        <v>0.5</v>
      </c>
      <c r="G56" s="35">
        <v>39</v>
      </c>
      <c r="H56" s="35">
        <v>6</v>
      </c>
      <c r="I56" s="36">
        <v>1</v>
      </c>
      <c r="J56" s="37">
        <f t="shared" si="2"/>
        <v>39.5</v>
      </c>
      <c r="K56" s="37">
        <f t="shared" si="3"/>
        <v>45</v>
      </c>
      <c r="L56" s="37">
        <v>43</v>
      </c>
    </row>
    <row r="57" spans="1:12" ht="15.75" customHeight="1" x14ac:dyDescent="0.2">
      <c r="A57" t="s">
        <v>193</v>
      </c>
      <c r="B57" s="42" t="s">
        <v>95</v>
      </c>
      <c r="C57" s="34">
        <v>3</v>
      </c>
      <c r="D57" s="33" t="s">
        <v>24</v>
      </c>
      <c r="E57" s="35">
        <v>41</v>
      </c>
      <c r="F57" s="35">
        <v>5</v>
      </c>
      <c r="G57" s="35">
        <v>41</v>
      </c>
      <c r="H57" s="35">
        <v>5</v>
      </c>
      <c r="I57" s="36">
        <v>0</v>
      </c>
      <c r="J57" s="37">
        <f t="shared" si="2"/>
        <v>46</v>
      </c>
      <c r="K57" s="37">
        <f t="shared" si="3"/>
        <v>46</v>
      </c>
      <c r="L57" s="37">
        <v>45</v>
      </c>
    </row>
    <row r="58" spans="1:12" ht="15.75" customHeight="1" x14ac:dyDescent="0.2">
      <c r="A58" t="s">
        <v>191</v>
      </c>
      <c r="B58" s="42" t="s">
        <v>106</v>
      </c>
      <c r="C58" s="38">
        <v>3</v>
      </c>
      <c r="D58" s="33" t="s">
        <v>93</v>
      </c>
      <c r="E58" s="35">
        <v>39</v>
      </c>
      <c r="F58" s="35">
        <v>0.5</v>
      </c>
      <c r="G58" s="35">
        <v>45</v>
      </c>
      <c r="H58" s="35">
        <v>6</v>
      </c>
      <c r="I58" s="36">
        <v>1</v>
      </c>
      <c r="J58" s="37">
        <f t="shared" si="2"/>
        <v>39.5</v>
      </c>
      <c r="K58" s="37">
        <f t="shared" si="3"/>
        <v>51</v>
      </c>
      <c r="L58" s="37">
        <v>43</v>
      </c>
    </row>
    <row r="59" spans="1:12" ht="15.75" customHeight="1" x14ac:dyDescent="0.2">
      <c r="A59" t="s">
        <v>192</v>
      </c>
      <c r="B59" s="42" t="s">
        <v>107</v>
      </c>
      <c r="C59" s="38">
        <v>3</v>
      </c>
      <c r="D59" s="33" t="s">
        <v>93</v>
      </c>
      <c r="E59" s="35">
        <v>40</v>
      </c>
      <c r="F59" s="35">
        <v>1</v>
      </c>
      <c r="G59" s="35">
        <v>51</v>
      </c>
      <c r="H59" s="35">
        <v>6</v>
      </c>
      <c r="I59" s="36">
        <v>1</v>
      </c>
      <c r="J59" s="37">
        <f t="shared" si="2"/>
        <v>41</v>
      </c>
      <c r="K59" s="37">
        <f t="shared" si="3"/>
        <v>57</v>
      </c>
      <c r="L59" s="37">
        <v>43</v>
      </c>
    </row>
    <row r="60" spans="1:12" ht="15.75" customHeight="1" x14ac:dyDescent="0.2">
      <c r="A60"/>
      <c r="B60" s="42" t="s">
        <v>65</v>
      </c>
      <c r="C60" s="34">
        <v>4</v>
      </c>
      <c r="D60" s="33" t="s">
        <v>24</v>
      </c>
      <c r="E60" s="35">
        <v>61</v>
      </c>
      <c r="F60" s="35">
        <v>1</v>
      </c>
      <c r="G60" s="35">
        <v>59</v>
      </c>
      <c r="H60" s="35">
        <v>1</v>
      </c>
      <c r="I60" s="36">
        <v>0</v>
      </c>
      <c r="J60" s="37">
        <f t="shared" si="2"/>
        <v>62</v>
      </c>
      <c r="K60" s="37">
        <f t="shared" si="3"/>
        <v>60</v>
      </c>
      <c r="L60" s="48">
        <f>+J60</f>
        <v>62</v>
      </c>
    </row>
    <row r="61" spans="1:12" ht="15.75" customHeight="1" x14ac:dyDescent="0.2">
      <c r="A61"/>
      <c r="B61" s="42" t="s">
        <v>66</v>
      </c>
      <c r="C61" s="38">
        <v>4</v>
      </c>
      <c r="D61" s="33" t="s">
        <v>24</v>
      </c>
      <c r="E61" s="35">
        <v>62</v>
      </c>
      <c r="F61" s="35">
        <v>0.5</v>
      </c>
      <c r="G61" s="35">
        <v>60</v>
      </c>
      <c r="H61" s="35">
        <v>0.5</v>
      </c>
      <c r="I61" s="36">
        <v>1</v>
      </c>
      <c r="J61" s="37">
        <f t="shared" si="2"/>
        <v>62.5</v>
      </c>
      <c r="K61" s="37">
        <f t="shared" si="3"/>
        <v>60.5</v>
      </c>
      <c r="L61" s="37">
        <v>62</v>
      </c>
    </row>
    <row r="62" spans="1:12" ht="15.75" customHeight="1" x14ac:dyDescent="0.2">
      <c r="A62" t="s">
        <v>194</v>
      </c>
      <c r="B62" s="41" t="s">
        <v>96</v>
      </c>
      <c r="C62" s="34">
        <v>3</v>
      </c>
      <c r="D62" s="33" t="s">
        <v>26</v>
      </c>
      <c r="E62" s="35">
        <v>41</v>
      </c>
      <c r="F62" s="35">
        <v>6</v>
      </c>
      <c r="G62" s="35">
        <v>55</v>
      </c>
      <c r="H62" s="35">
        <v>6</v>
      </c>
      <c r="I62" s="36">
        <v>1</v>
      </c>
      <c r="J62" s="37">
        <f t="shared" si="2"/>
        <v>47</v>
      </c>
      <c r="K62" s="37">
        <f t="shared" si="3"/>
        <v>61</v>
      </c>
      <c r="L62" s="37">
        <v>46</v>
      </c>
    </row>
    <row r="63" spans="1:12" ht="15.75" customHeight="1" x14ac:dyDescent="0.2">
      <c r="A63"/>
      <c r="B63" s="42" t="s">
        <v>67</v>
      </c>
      <c r="C63" s="34">
        <v>4</v>
      </c>
      <c r="D63" s="33" t="s">
        <v>24</v>
      </c>
      <c r="E63" s="35">
        <v>62</v>
      </c>
      <c r="F63" s="35">
        <v>1</v>
      </c>
      <c r="G63" s="35">
        <v>60</v>
      </c>
      <c r="H63" s="35">
        <v>1</v>
      </c>
      <c r="I63" s="36">
        <v>0</v>
      </c>
      <c r="J63" s="37">
        <f t="shared" si="2"/>
        <v>63</v>
      </c>
      <c r="K63" s="37">
        <f t="shared" si="3"/>
        <v>61</v>
      </c>
      <c r="L63" s="37">
        <v>62</v>
      </c>
    </row>
    <row r="64" spans="1:12" ht="15.75" customHeight="1" x14ac:dyDescent="0.2">
      <c r="A64"/>
      <c r="B64" s="42" t="s">
        <v>68</v>
      </c>
      <c r="C64" s="38">
        <v>4</v>
      </c>
      <c r="D64" s="33" t="s">
        <v>24</v>
      </c>
      <c r="E64" s="35">
        <v>63</v>
      </c>
      <c r="F64" s="35">
        <v>1</v>
      </c>
      <c r="G64" s="35">
        <v>61</v>
      </c>
      <c r="H64" s="35">
        <v>1</v>
      </c>
      <c r="I64" s="36">
        <v>1</v>
      </c>
      <c r="J64" s="37">
        <f t="shared" si="2"/>
        <v>64</v>
      </c>
      <c r="K64" s="37">
        <f t="shared" si="3"/>
        <v>62</v>
      </c>
      <c r="L64" s="37">
        <v>62.5</v>
      </c>
    </row>
    <row r="65" spans="1:12" ht="15.75" customHeight="1" x14ac:dyDescent="0.2">
      <c r="A65"/>
      <c r="B65" s="42" t="s">
        <v>69</v>
      </c>
      <c r="C65" s="38">
        <v>4</v>
      </c>
      <c r="D65" s="33" t="s">
        <v>24</v>
      </c>
      <c r="E65" s="35">
        <v>64</v>
      </c>
      <c r="F65" s="35">
        <v>0.5</v>
      </c>
      <c r="G65" s="35">
        <v>62</v>
      </c>
      <c r="H65" s="35">
        <v>0.5</v>
      </c>
      <c r="I65" s="36">
        <v>1</v>
      </c>
      <c r="J65" s="37">
        <f t="shared" si="2"/>
        <v>64.5</v>
      </c>
      <c r="K65" s="37">
        <f t="shared" si="3"/>
        <v>62.5</v>
      </c>
      <c r="L65" s="37">
        <v>63</v>
      </c>
    </row>
    <row r="66" spans="1:12" ht="15.75" customHeight="1" x14ac:dyDescent="0.2">
      <c r="A66"/>
      <c r="B66" s="42" t="s">
        <v>71</v>
      </c>
      <c r="C66" s="38">
        <v>4</v>
      </c>
      <c r="D66" s="33" t="s">
        <v>24</v>
      </c>
      <c r="E66" s="35">
        <v>66</v>
      </c>
      <c r="F66" s="35">
        <v>0.5</v>
      </c>
      <c r="G66" s="35">
        <v>62</v>
      </c>
      <c r="H66" s="35">
        <v>0.5</v>
      </c>
      <c r="I66" s="36">
        <v>1</v>
      </c>
      <c r="J66" s="37">
        <f t="shared" si="2"/>
        <v>66.5</v>
      </c>
      <c r="K66" s="37">
        <f t="shared" si="3"/>
        <v>62.5</v>
      </c>
      <c r="L66" s="37">
        <v>64</v>
      </c>
    </row>
    <row r="67" spans="1:12" ht="15.75" customHeight="1" x14ac:dyDescent="0.2">
      <c r="A67" t="s">
        <v>228</v>
      </c>
      <c r="B67" s="42" t="s">
        <v>108</v>
      </c>
      <c r="C67" s="38">
        <v>3</v>
      </c>
      <c r="D67" s="33" t="s">
        <v>93</v>
      </c>
      <c r="E67" s="35">
        <v>41</v>
      </c>
      <c r="F67" s="35">
        <v>1</v>
      </c>
      <c r="G67" s="35">
        <v>57</v>
      </c>
      <c r="H67" s="35">
        <v>6</v>
      </c>
      <c r="I67" s="36">
        <v>1</v>
      </c>
      <c r="J67" s="37">
        <f t="shared" ref="J67:J103" si="4">+E67+F67</f>
        <v>42</v>
      </c>
      <c r="K67" s="37">
        <f t="shared" ref="K67:K103" si="5">+G67+H67</f>
        <v>63</v>
      </c>
      <c r="L67" s="37">
        <v>43</v>
      </c>
    </row>
    <row r="68" spans="1:12" ht="15.75" customHeight="1" x14ac:dyDescent="0.2">
      <c r="A68" t="s">
        <v>234</v>
      </c>
      <c r="B68" s="42" t="s">
        <v>208</v>
      </c>
      <c r="C68" s="34">
        <v>4</v>
      </c>
      <c r="D68" s="33" t="s">
        <v>24</v>
      </c>
      <c r="E68" s="35">
        <v>58</v>
      </c>
      <c r="F68" s="35">
        <v>4</v>
      </c>
      <c r="G68" s="35">
        <v>58</v>
      </c>
      <c r="H68" s="35">
        <v>5</v>
      </c>
      <c r="I68" s="36">
        <v>0</v>
      </c>
      <c r="J68" s="37">
        <f t="shared" si="4"/>
        <v>62</v>
      </c>
      <c r="K68" s="37">
        <f t="shared" si="5"/>
        <v>63</v>
      </c>
      <c r="L68" s="48">
        <f>+J68</f>
        <v>62</v>
      </c>
    </row>
    <row r="69" spans="1:12" ht="15.75" customHeight="1" x14ac:dyDescent="0.2">
      <c r="A69"/>
      <c r="B69" s="41" t="s">
        <v>70</v>
      </c>
      <c r="C69" s="34">
        <v>4</v>
      </c>
      <c r="D69" s="33" t="s">
        <v>24</v>
      </c>
      <c r="E69" s="35">
        <v>65</v>
      </c>
      <c r="F69" s="35">
        <v>1</v>
      </c>
      <c r="G69" s="35">
        <v>62</v>
      </c>
      <c r="H69" s="35">
        <v>1</v>
      </c>
      <c r="I69" s="36">
        <v>0</v>
      </c>
      <c r="J69" s="37">
        <f t="shared" si="4"/>
        <v>66</v>
      </c>
      <c r="K69" s="37">
        <f t="shared" si="5"/>
        <v>63</v>
      </c>
      <c r="L69" s="37">
        <v>63</v>
      </c>
    </row>
    <row r="70" spans="1:12" ht="15.75" customHeight="1" x14ac:dyDescent="0.2">
      <c r="A70"/>
      <c r="B70" s="42" t="s">
        <v>72</v>
      </c>
      <c r="C70" s="38">
        <v>4</v>
      </c>
      <c r="D70" s="33" t="s">
        <v>24</v>
      </c>
      <c r="E70" s="35">
        <v>66</v>
      </c>
      <c r="F70" s="35">
        <v>1</v>
      </c>
      <c r="G70" s="35">
        <v>62</v>
      </c>
      <c r="H70" s="35">
        <v>1</v>
      </c>
      <c r="I70" s="36">
        <v>1</v>
      </c>
      <c r="J70" s="37">
        <f t="shared" si="4"/>
        <v>67</v>
      </c>
      <c r="K70" s="37">
        <f t="shared" si="5"/>
        <v>63</v>
      </c>
      <c r="L70" s="37">
        <v>64.5</v>
      </c>
    </row>
    <row r="71" spans="1:12" ht="15.75" customHeight="1" x14ac:dyDescent="0.2">
      <c r="A71"/>
      <c r="B71" s="42" t="s">
        <v>73</v>
      </c>
      <c r="C71" s="34">
        <v>4</v>
      </c>
      <c r="D71" s="33" t="s">
        <v>24</v>
      </c>
      <c r="E71" s="35">
        <v>67</v>
      </c>
      <c r="F71" s="35">
        <v>0.5</v>
      </c>
      <c r="G71" s="35">
        <v>63</v>
      </c>
      <c r="H71" s="35">
        <v>0.5</v>
      </c>
      <c r="I71" s="36">
        <v>0</v>
      </c>
      <c r="J71" s="37">
        <f t="shared" si="4"/>
        <v>67.5</v>
      </c>
      <c r="K71" s="37">
        <f t="shared" si="5"/>
        <v>63.5</v>
      </c>
      <c r="L71" s="37">
        <v>65</v>
      </c>
    </row>
    <row r="72" spans="1:12" ht="15.75" customHeight="1" x14ac:dyDescent="0.2">
      <c r="A72"/>
      <c r="B72" s="42" t="s">
        <v>74</v>
      </c>
      <c r="C72" s="38">
        <v>4</v>
      </c>
      <c r="D72" s="33" t="s">
        <v>24</v>
      </c>
      <c r="E72" s="35">
        <v>67</v>
      </c>
      <c r="F72" s="35">
        <v>0.5</v>
      </c>
      <c r="G72" s="35">
        <v>63</v>
      </c>
      <c r="H72" s="35">
        <v>0.5</v>
      </c>
      <c r="I72" s="36">
        <v>1</v>
      </c>
      <c r="J72" s="37">
        <f t="shared" si="4"/>
        <v>67.5</v>
      </c>
      <c r="K72" s="37">
        <f t="shared" si="5"/>
        <v>63.5</v>
      </c>
      <c r="L72" s="37">
        <v>66</v>
      </c>
    </row>
    <row r="73" spans="1:12" ht="15.75" customHeight="1" x14ac:dyDescent="0.2">
      <c r="A73"/>
      <c r="B73" s="42" t="s">
        <v>75</v>
      </c>
      <c r="C73" s="38">
        <v>4</v>
      </c>
      <c r="D73" s="33" t="s">
        <v>24</v>
      </c>
      <c r="E73" s="35">
        <v>68</v>
      </c>
      <c r="F73" s="35">
        <v>0.5</v>
      </c>
      <c r="G73" s="35">
        <v>64</v>
      </c>
      <c r="H73" s="35">
        <v>0.5</v>
      </c>
      <c r="I73" s="36">
        <v>0</v>
      </c>
      <c r="J73" s="37">
        <f t="shared" si="4"/>
        <v>68.5</v>
      </c>
      <c r="K73" s="37">
        <f t="shared" si="5"/>
        <v>64.5</v>
      </c>
      <c r="L73" s="37">
        <v>66</v>
      </c>
    </row>
    <row r="74" spans="1:12" ht="15.75" customHeight="1" x14ac:dyDescent="0.2">
      <c r="A74"/>
      <c r="B74" s="42" t="s">
        <v>76</v>
      </c>
      <c r="C74" s="38">
        <v>4</v>
      </c>
      <c r="D74" s="33" t="s">
        <v>24</v>
      </c>
      <c r="E74" s="35">
        <v>69</v>
      </c>
      <c r="F74" s="35">
        <v>0.5</v>
      </c>
      <c r="G74" s="35">
        <v>65</v>
      </c>
      <c r="H74" s="35">
        <v>0.5</v>
      </c>
      <c r="I74" s="36">
        <v>0</v>
      </c>
      <c r="J74" s="37">
        <f t="shared" si="4"/>
        <v>69.5</v>
      </c>
      <c r="K74" s="37">
        <f t="shared" si="5"/>
        <v>65.5</v>
      </c>
      <c r="L74" s="37">
        <v>66</v>
      </c>
    </row>
    <row r="75" spans="1:12" ht="15.75" customHeight="1" x14ac:dyDescent="0.2">
      <c r="A75"/>
      <c r="B75" s="42" t="s">
        <v>77</v>
      </c>
      <c r="C75" s="38">
        <v>4</v>
      </c>
      <c r="D75" s="33" t="s">
        <v>24</v>
      </c>
      <c r="E75" s="35">
        <v>70</v>
      </c>
      <c r="F75" s="35">
        <v>0.5</v>
      </c>
      <c r="G75" s="35">
        <v>65</v>
      </c>
      <c r="H75" s="35">
        <v>0.5</v>
      </c>
      <c r="I75" s="36">
        <v>0</v>
      </c>
      <c r="J75" s="37">
        <f t="shared" si="4"/>
        <v>70.5</v>
      </c>
      <c r="K75" s="37">
        <f t="shared" si="5"/>
        <v>65.5</v>
      </c>
      <c r="L75" s="37">
        <v>67</v>
      </c>
    </row>
    <row r="76" spans="1:12" ht="15.75" customHeight="1" x14ac:dyDescent="0.2">
      <c r="A76"/>
      <c r="B76" s="42" t="s">
        <v>78</v>
      </c>
      <c r="C76" s="38">
        <v>4</v>
      </c>
      <c r="D76" s="33" t="s">
        <v>24</v>
      </c>
      <c r="E76" s="35">
        <v>70</v>
      </c>
      <c r="F76" s="35">
        <v>0.5</v>
      </c>
      <c r="G76" s="35">
        <v>66</v>
      </c>
      <c r="H76" s="35">
        <v>0.5</v>
      </c>
      <c r="I76" s="36">
        <v>0</v>
      </c>
      <c r="J76" s="37">
        <f t="shared" si="4"/>
        <v>70.5</v>
      </c>
      <c r="K76" s="37">
        <f t="shared" si="5"/>
        <v>66.5</v>
      </c>
      <c r="L76" s="37">
        <v>67</v>
      </c>
    </row>
    <row r="77" spans="1:12" ht="15.75" customHeight="1" x14ac:dyDescent="0.2">
      <c r="A77" t="s">
        <v>197</v>
      </c>
      <c r="B77" s="42" t="s">
        <v>123</v>
      </c>
      <c r="C77" s="34">
        <v>3</v>
      </c>
      <c r="D77" s="33" t="s">
        <v>125</v>
      </c>
      <c r="E77" s="35">
        <v>57</v>
      </c>
      <c r="F77" s="35">
        <v>3</v>
      </c>
      <c r="G77" s="35">
        <v>57</v>
      </c>
      <c r="H77" s="35">
        <v>10</v>
      </c>
      <c r="I77" s="36">
        <v>0</v>
      </c>
      <c r="J77" s="37">
        <f t="shared" si="4"/>
        <v>60</v>
      </c>
      <c r="K77" s="37">
        <f t="shared" si="5"/>
        <v>67</v>
      </c>
      <c r="L77" s="37">
        <v>58</v>
      </c>
    </row>
    <row r="78" spans="1:12" ht="15.75" customHeight="1" x14ac:dyDescent="0.2">
      <c r="A78" t="s">
        <v>198</v>
      </c>
      <c r="B78" s="42" t="s">
        <v>124</v>
      </c>
      <c r="C78" s="34">
        <v>3</v>
      </c>
      <c r="D78" s="33" t="s">
        <v>24</v>
      </c>
      <c r="E78" s="35">
        <v>57</v>
      </c>
      <c r="F78" s="35">
        <v>3</v>
      </c>
      <c r="G78" s="35">
        <v>57</v>
      </c>
      <c r="H78" s="35">
        <v>10</v>
      </c>
      <c r="I78" s="36">
        <v>0</v>
      </c>
      <c r="J78" s="37">
        <f t="shared" si="4"/>
        <v>60</v>
      </c>
      <c r="K78" s="37">
        <f t="shared" si="5"/>
        <v>67</v>
      </c>
      <c r="L78" s="48">
        <f>+J78</f>
        <v>60</v>
      </c>
    </row>
    <row r="79" spans="1:12" ht="15.75" customHeight="1" x14ac:dyDescent="0.2">
      <c r="A79" t="s">
        <v>231</v>
      </c>
      <c r="B79" s="42" t="s">
        <v>120</v>
      </c>
      <c r="C79" s="34">
        <v>3</v>
      </c>
      <c r="D79" s="33" t="s">
        <v>25</v>
      </c>
      <c r="E79" s="35">
        <v>45</v>
      </c>
      <c r="F79" s="35">
        <v>1</v>
      </c>
      <c r="G79" s="35">
        <v>59</v>
      </c>
      <c r="H79" s="35">
        <v>9</v>
      </c>
      <c r="I79" s="36">
        <v>0</v>
      </c>
      <c r="J79" s="37">
        <f t="shared" si="4"/>
        <v>46</v>
      </c>
      <c r="K79" s="37">
        <f t="shared" si="5"/>
        <v>68</v>
      </c>
      <c r="L79" s="37">
        <v>46</v>
      </c>
    </row>
    <row r="80" spans="1:12" ht="15.75" customHeight="1" x14ac:dyDescent="0.2">
      <c r="A80" t="s">
        <v>235</v>
      </c>
      <c r="B80" s="42" t="s">
        <v>209</v>
      </c>
      <c r="C80" s="34">
        <v>4</v>
      </c>
      <c r="D80" s="33" t="s">
        <v>24</v>
      </c>
      <c r="E80" s="35">
        <v>62</v>
      </c>
      <c r="F80" s="35">
        <v>3</v>
      </c>
      <c r="G80" s="35">
        <v>63</v>
      </c>
      <c r="H80" s="35">
        <v>5</v>
      </c>
      <c r="I80" s="36">
        <v>0</v>
      </c>
      <c r="J80" s="37">
        <f t="shared" si="4"/>
        <v>65</v>
      </c>
      <c r="K80" s="37">
        <f t="shared" si="5"/>
        <v>68</v>
      </c>
      <c r="L80" s="48">
        <f>+J80</f>
        <v>65</v>
      </c>
    </row>
    <row r="81" spans="1:12" ht="15.75" customHeight="1" x14ac:dyDescent="0.2">
      <c r="A81" t="s">
        <v>229</v>
      </c>
      <c r="B81" s="42" t="s">
        <v>109</v>
      </c>
      <c r="C81" s="38">
        <v>3</v>
      </c>
      <c r="D81" s="33" t="s">
        <v>93</v>
      </c>
      <c r="E81" s="35">
        <v>42</v>
      </c>
      <c r="F81" s="35">
        <v>2</v>
      </c>
      <c r="G81" s="35">
        <v>63</v>
      </c>
      <c r="H81" s="35">
        <v>6</v>
      </c>
      <c r="I81" s="36">
        <v>1</v>
      </c>
      <c r="J81" s="37">
        <f t="shared" si="4"/>
        <v>44</v>
      </c>
      <c r="K81" s="37">
        <f t="shared" si="5"/>
        <v>69</v>
      </c>
      <c r="L81" s="37">
        <v>43</v>
      </c>
    </row>
    <row r="82" spans="1:12" ht="15.75" customHeight="1" x14ac:dyDescent="0.2">
      <c r="A82" t="s">
        <v>236</v>
      </c>
      <c r="B82" s="41" t="s">
        <v>210</v>
      </c>
      <c r="C82" s="34">
        <v>4</v>
      </c>
      <c r="D82" s="33" t="s">
        <v>24</v>
      </c>
      <c r="E82" s="35">
        <v>65</v>
      </c>
      <c r="F82" s="35">
        <v>2</v>
      </c>
      <c r="G82" s="35">
        <v>68</v>
      </c>
      <c r="H82" s="35">
        <v>5</v>
      </c>
      <c r="I82" s="36">
        <v>1</v>
      </c>
      <c r="J82" s="37">
        <f t="shared" si="4"/>
        <v>67</v>
      </c>
      <c r="K82" s="37">
        <f t="shared" si="5"/>
        <v>73</v>
      </c>
      <c r="L82" s="37">
        <v>60</v>
      </c>
    </row>
    <row r="83" spans="1:12" ht="15.75" customHeight="1" x14ac:dyDescent="0.2">
      <c r="A83" t="s">
        <v>199</v>
      </c>
      <c r="B83" s="42" t="s">
        <v>206</v>
      </c>
      <c r="C83" s="34">
        <v>3</v>
      </c>
      <c r="D83" s="33" t="s">
        <v>22</v>
      </c>
      <c r="E83" s="35">
        <v>63</v>
      </c>
      <c r="F83" s="35">
        <v>1</v>
      </c>
      <c r="G83" s="35">
        <v>67</v>
      </c>
      <c r="H83" s="35">
        <v>7</v>
      </c>
      <c r="I83" s="36">
        <v>0</v>
      </c>
      <c r="J83" s="37">
        <f t="shared" si="4"/>
        <v>64</v>
      </c>
      <c r="K83" s="37">
        <f t="shared" si="5"/>
        <v>74</v>
      </c>
      <c r="L83" s="48">
        <f>+J83</f>
        <v>64</v>
      </c>
    </row>
    <row r="84" spans="1:12" ht="15.75" customHeight="1" x14ac:dyDescent="0.2">
      <c r="A84" t="s">
        <v>224</v>
      </c>
      <c r="B84" s="42" t="s">
        <v>220</v>
      </c>
      <c r="C84" s="34">
        <v>4</v>
      </c>
      <c r="D84" s="33" t="s">
        <v>125</v>
      </c>
      <c r="E84" s="35">
        <v>67</v>
      </c>
      <c r="F84" s="35">
        <v>0.5</v>
      </c>
      <c r="G84" s="35">
        <v>73</v>
      </c>
      <c r="H84" s="35">
        <v>1</v>
      </c>
      <c r="I84" s="36">
        <v>0</v>
      </c>
      <c r="J84" s="37">
        <f t="shared" si="4"/>
        <v>67.5</v>
      </c>
      <c r="K84" s="37">
        <f t="shared" si="5"/>
        <v>74</v>
      </c>
      <c r="L84" s="48">
        <f>+J84</f>
        <v>67.5</v>
      </c>
    </row>
    <row r="85" spans="1:12" ht="15.75" customHeight="1" x14ac:dyDescent="0.2">
      <c r="A85" t="s">
        <v>225</v>
      </c>
      <c r="B85" s="41" t="s">
        <v>221</v>
      </c>
      <c r="C85" s="34">
        <v>4</v>
      </c>
      <c r="D85" s="33" t="s">
        <v>125</v>
      </c>
      <c r="E85" s="35">
        <v>67</v>
      </c>
      <c r="F85" s="35">
        <v>0.5</v>
      </c>
      <c r="G85" s="35">
        <v>74</v>
      </c>
      <c r="H85" s="35">
        <v>1</v>
      </c>
      <c r="I85" s="36">
        <v>0</v>
      </c>
      <c r="J85" s="37">
        <f t="shared" si="4"/>
        <v>67.5</v>
      </c>
      <c r="K85" s="37">
        <f t="shared" si="5"/>
        <v>75</v>
      </c>
      <c r="L85" s="48">
        <f>+J85</f>
        <v>67.5</v>
      </c>
    </row>
    <row r="86" spans="1:12" ht="15.75" customHeight="1" x14ac:dyDescent="0.2">
      <c r="A86" t="s">
        <v>230</v>
      </c>
      <c r="B86" s="42" t="s">
        <v>110</v>
      </c>
      <c r="C86" s="38">
        <v>3</v>
      </c>
      <c r="D86" s="33" t="s">
        <v>93</v>
      </c>
      <c r="E86" s="35">
        <v>44</v>
      </c>
      <c r="F86" s="35">
        <v>2</v>
      </c>
      <c r="G86" s="35">
        <v>69</v>
      </c>
      <c r="H86" s="35">
        <v>7</v>
      </c>
      <c r="I86" s="36">
        <v>0</v>
      </c>
      <c r="J86" s="37">
        <f t="shared" si="4"/>
        <v>46</v>
      </c>
      <c r="K86" s="37">
        <f t="shared" si="5"/>
        <v>76</v>
      </c>
      <c r="L86" s="37">
        <v>44</v>
      </c>
    </row>
    <row r="87" spans="1:12" ht="15.75" customHeight="1" x14ac:dyDescent="0.2">
      <c r="A87" t="s">
        <v>226</v>
      </c>
      <c r="B87" s="41" t="s">
        <v>222</v>
      </c>
      <c r="C87" s="34">
        <v>4</v>
      </c>
      <c r="D87" s="33" t="s">
        <v>125</v>
      </c>
      <c r="E87" s="35">
        <v>68</v>
      </c>
      <c r="F87" s="35">
        <v>1</v>
      </c>
      <c r="G87" s="35">
        <v>75</v>
      </c>
      <c r="H87" s="35">
        <v>1</v>
      </c>
      <c r="I87" s="36">
        <v>0</v>
      </c>
      <c r="J87" s="37">
        <f t="shared" si="4"/>
        <v>69</v>
      </c>
      <c r="K87" s="37">
        <f t="shared" si="5"/>
        <v>76</v>
      </c>
      <c r="L87" s="48">
        <f>+J87</f>
        <v>69</v>
      </c>
    </row>
    <row r="88" spans="1:12" ht="15.75" customHeight="1" x14ac:dyDescent="0.2">
      <c r="A88" t="s">
        <v>232</v>
      </c>
      <c r="B88" s="41" t="s">
        <v>121</v>
      </c>
      <c r="C88" s="34">
        <v>3</v>
      </c>
      <c r="D88" s="33" t="s">
        <v>25</v>
      </c>
      <c r="E88" s="35">
        <v>46</v>
      </c>
      <c r="F88" s="35">
        <v>1</v>
      </c>
      <c r="G88" s="35">
        <v>68</v>
      </c>
      <c r="H88" s="35">
        <v>9</v>
      </c>
      <c r="I88" s="36">
        <v>1</v>
      </c>
      <c r="J88" s="37">
        <f t="shared" si="4"/>
        <v>47</v>
      </c>
      <c r="K88" s="37">
        <f t="shared" si="5"/>
        <v>77</v>
      </c>
      <c r="L88" s="37">
        <v>47</v>
      </c>
    </row>
    <row r="89" spans="1:12" ht="15.75" customHeight="1" x14ac:dyDescent="0.2">
      <c r="A89" t="s">
        <v>239</v>
      </c>
      <c r="B89" s="42" t="s">
        <v>114</v>
      </c>
      <c r="C89" s="34">
        <v>4</v>
      </c>
      <c r="D89" s="33" t="s">
        <v>24</v>
      </c>
      <c r="E89" s="35">
        <v>58</v>
      </c>
      <c r="F89" s="35">
        <v>0.5</v>
      </c>
      <c r="G89" s="35">
        <v>75</v>
      </c>
      <c r="H89" s="35">
        <v>2</v>
      </c>
      <c r="I89" s="36">
        <v>0</v>
      </c>
      <c r="J89" s="37">
        <f t="shared" si="4"/>
        <v>58.5</v>
      </c>
      <c r="K89" s="37">
        <f t="shared" si="5"/>
        <v>77</v>
      </c>
      <c r="L89" s="37">
        <v>67</v>
      </c>
    </row>
    <row r="90" spans="1:12" ht="15.75" customHeight="1" x14ac:dyDescent="0.2">
      <c r="A90" t="s">
        <v>227</v>
      </c>
      <c r="B90" s="41" t="s">
        <v>223</v>
      </c>
      <c r="C90" s="34">
        <v>4</v>
      </c>
      <c r="D90" s="33" t="s">
        <v>125</v>
      </c>
      <c r="E90" s="35">
        <v>69</v>
      </c>
      <c r="F90" s="35">
        <v>1</v>
      </c>
      <c r="G90" s="35">
        <v>76</v>
      </c>
      <c r="H90" s="35">
        <v>1</v>
      </c>
      <c r="I90" s="36">
        <v>0</v>
      </c>
      <c r="J90" s="37">
        <f t="shared" si="4"/>
        <v>70</v>
      </c>
      <c r="K90" s="37">
        <f t="shared" si="5"/>
        <v>77</v>
      </c>
      <c r="L90" s="48">
        <f>+J90</f>
        <v>70</v>
      </c>
    </row>
    <row r="91" spans="1:12" ht="15.75" customHeight="1" x14ac:dyDescent="0.2">
      <c r="A91" t="s">
        <v>240</v>
      </c>
      <c r="B91" s="42" t="s">
        <v>115</v>
      </c>
      <c r="C91" s="34">
        <v>4</v>
      </c>
      <c r="D91" s="33" t="s">
        <v>24</v>
      </c>
      <c r="E91" s="35">
        <v>58</v>
      </c>
      <c r="F91" s="35">
        <v>0.5</v>
      </c>
      <c r="G91" s="35">
        <v>77</v>
      </c>
      <c r="H91" s="35">
        <v>1</v>
      </c>
      <c r="I91" s="36">
        <v>0</v>
      </c>
      <c r="J91" s="37">
        <f t="shared" si="4"/>
        <v>58.5</v>
      </c>
      <c r="K91" s="37">
        <f t="shared" si="5"/>
        <v>78</v>
      </c>
      <c r="L91" s="48">
        <f>+J91</f>
        <v>58.5</v>
      </c>
    </row>
    <row r="92" spans="1:12" ht="15.75" customHeight="1" x14ac:dyDescent="0.2">
      <c r="A92" t="s">
        <v>204</v>
      </c>
      <c r="B92" s="42" t="s">
        <v>218</v>
      </c>
      <c r="C92" s="38">
        <v>4</v>
      </c>
      <c r="D92" s="33" t="s">
        <v>125</v>
      </c>
      <c r="E92" s="35">
        <v>73</v>
      </c>
      <c r="F92" s="35">
        <v>3</v>
      </c>
      <c r="G92" s="35">
        <v>73</v>
      </c>
      <c r="H92" s="35">
        <v>5</v>
      </c>
      <c r="I92" s="36">
        <v>0</v>
      </c>
      <c r="J92" s="37">
        <f t="shared" si="4"/>
        <v>76</v>
      </c>
      <c r="K92" s="37">
        <f t="shared" si="5"/>
        <v>78</v>
      </c>
      <c r="L92" s="48">
        <f>+J92</f>
        <v>76</v>
      </c>
    </row>
    <row r="93" spans="1:12" ht="15.75" customHeight="1" x14ac:dyDescent="0.2">
      <c r="A93" t="s">
        <v>237</v>
      </c>
      <c r="B93" s="41" t="s">
        <v>211</v>
      </c>
      <c r="C93" s="34">
        <v>4</v>
      </c>
      <c r="D93" s="33" t="s">
        <v>24</v>
      </c>
      <c r="E93" s="35">
        <v>67</v>
      </c>
      <c r="F93" s="35">
        <v>3</v>
      </c>
      <c r="G93" s="35">
        <v>73</v>
      </c>
      <c r="H93" s="35">
        <v>6</v>
      </c>
      <c r="I93" s="36">
        <v>1</v>
      </c>
      <c r="J93" s="37">
        <f t="shared" si="4"/>
        <v>70</v>
      </c>
      <c r="K93" s="37">
        <f t="shared" si="5"/>
        <v>79</v>
      </c>
      <c r="L93" s="37">
        <v>60</v>
      </c>
    </row>
    <row r="94" spans="1:12" ht="15.75" customHeight="1" x14ac:dyDescent="0.2">
      <c r="A94" t="s">
        <v>241</v>
      </c>
      <c r="B94" s="42" t="s">
        <v>116</v>
      </c>
      <c r="C94" s="34">
        <v>4</v>
      </c>
      <c r="D94" s="33" t="s">
        <v>24</v>
      </c>
      <c r="E94" s="35">
        <v>59</v>
      </c>
      <c r="F94" s="35">
        <v>0.5</v>
      </c>
      <c r="G94" s="35">
        <v>78</v>
      </c>
      <c r="H94" s="35">
        <v>1</v>
      </c>
      <c r="I94" s="36">
        <v>0</v>
      </c>
      <c r="J94" s="37">
        <f t="shared" si="4"/>
        <v>59.5</v>
      </c>
      <c r="K94" s="37">
        <f t="shared" si="5"/>
        <v>79</v>
      </c>
      <c r="L94" s="48">
        <f t="shared" ref="L94:L99" si="6">+J94</f>
        <v>59.5</v>
      </c>
    </row>
    <row r="95" spans="1:12" ht="15.75" customHeight="1" x14ac:dyDescent="0.2">
      <c r="A95" t="s">
        <v>242</v>
      </c>
      <c r="B95" s="42" t="s">
        <v>117</v>
      </c>
      <c r="C95" s="38">
        <v>4</v>
      </c>
      <c r="D95" s="33" t="s">
        <v>24</v>
      </c>
      <c r="E95" s="35">
        <v>59</v>
      </c>
      <c r="F95" s="35">
        <v>0.5</v>
      </c>
      <c r="G95" s="35">
        <v>79</v>
      </c>
      <c r="H95" s="35">
        <v>2</v>
      </c>
      <c r="I95" s="36">
        <v>0</v>
      </c>
      <c r="J95" s="37">
        <f t="shared" si="4"/>
        <v>59.5</v>
      </c>
      <c r="K95" s="37">
        <f t="shared" si="5"/>
        <v>81</v>
      </c>
      <c r="L95" s="48">
        <f t="shared" si="6"/>
        <v>59.5</v>
      </c>
    </row>
    <row r="96" spans="1:12" ht="15.75" customHeight="1" x14ac:dyDescent="0.2">
      <c r="A96" t="s">
        <v>243</v>
      </c>
      <c r="B96" s="42" t="s">
        <v>118</v>
      </c>
      <c r="C96" s="34">
        <v>4</v>
      </c>
      <c r="D96" s="33" t="s">
        <v>24</v>
      </c>
      <c r="E96" s="35">
        <v>60</v>
      </c>
      <c r="F96" s="35">
        <v>0.5</v>
      </c>
      <c r="G96" s="35">
        <v>81</v>
      </c>
      <c r="H96" s="35">
        <v>1</v>
      </c>
      <c r="I96" s="36">
        <v>0</v>
      </c>
      <c r="J96" s="37">
        <f t="shared" si="4"/>
        <v>60.5</v>
      </c>
      <c r="K96" s="37">
        <f t="shared" si="5"/>
        <v>82</v>
      </c>
      <c r="L96" s="48">
        <f t="shared" si="6"/>
        <v>60.5</v>
      </c>
    </row>
    <row r="97" spans="1:12" ht="15.75" customHeight="1" x14ac:dyDescent="0.2">
      <c r="A97" t="s">
        <v>244</v>
      </c>
      <c r="B97" s="42" t="s">
        <v>119</v>
      </c>
      <c r="C97" s="38">
        <v>4</v>
      </c>
      <c r="D97" s="33" t="s">
        <v>24</v>
      </c>
      <c r="E97" s="35">
        <v>60</v>
      </c>
      <c r="F97" s="35">
        <v>0.5</v>
      </c>
      <c r="G97" s="35">
        <v>82</v>
      </c>
      <c r="H97" s="35">
        <v>1</v>
      </c>
      <c r="I97" s="36">
        <v>0</v>
      </c>
      <c r="J97" s="37">
        <f t="shared" si="4"/>
        <v>60.5</v>
      </c>
      <c r="K97" s="37">
        <f t="shared" si="5"/>
        <v>83</v>
      </c>
      <c r="L97" s="48">
        <f t="shared" si="6"/>
        <v>60.5</v>
      </c>
    </row>
    <row r="98" spans="1:12" ht="15.75" customHeight="1" x14ac:dyDescent="0.2">
      <c r="A98" t="s">
        <v>202</v>
      </c>
      <c r="B98" s="42" t="s">
        <v>216</v>
      </c>
      <c r="C98" s="34">
        <v>4</v>
      </c>
      <c r="D98" s="33" t="s">
        <v>125</v>
      </c>
      <c r="E98" s="35">
        <v>73</v>
      </c>
      <c r="F98" s="35">
        <v>3</v>
      </c>
      <c r="G98" s="35">
        <v>73</v>
      </c>
      <c r="H98" s="35">
        <v>10</v>
      </c>
      <c r="I98" s="36">
        <v>0</v>
      </c>
      <c r="J98" s="37">
        <f t="shared" si="4"/>
        <v>76</v>
      </c>
      <c r="K98" s="37">
        <f t="shared" si="5"/>
        <v>83</v>
      </c>
      <c r="L98" s="48">
        <f t="shared" si="6"/>
        <v>76</v>
      </c>
    </row>
    <row r="99" spans="1:12" ht="15.75" customHeight="1" x14ac:dyDescent="0.2">
      <c r="A99" t="s">
        <v>203</v>
      </c>
      <c r="B99" s="42" t="s">
        <v>217</v>
      </c>
      <c r="C99" s="38">
        <v>4</v>
      </c>
      <c r="D99" s="33" t="s">
        <v>125</v>
      </c>
      <c r="E99" s="35">
        <v>73</v>
      </c>
      <c r="F99" s="35">
        <v>3</v>
      </c>
      <c r="G99" s="35">
        <v>73</v>
      </c>
      <c r="H99" s="35">
        <v>11</v>
      </c>
      <c r="I99" s="36">
        <v>0</v>
      </c>
      <c r="J99" s="37">
        <f t="shared" si="4"/>
        <v>76</v>
      </c>
      <c r="K99" s="37">
        <f t="shared" si="5"/>
        <v>84</v>
      </c>
      <c r="L99" s="48">
        <f t="shared" si="6"/>
        <v>76</v>
      </c>
    </row>
    <row r="100" spans="1:12" ht="15.75" customHeight="1" x14ac:dyDescent="0.2">
      <c r="A100" t="s">
        <v>233</v>
      </c>
      <c r="B100" s="42" t="s">
        <v>122</v>
      </c>
      <c r="C100" s="34">
        <v>3</v>
      </c>
      <c r="D100" s="33" t="s">
        <v>25</v>
      </c>
      <c r="E100" s="35">
        <v>47</v>
      </c>
      <c r="F100" s="35">
        <v>2</v>
      </c>
      <c r="G100" s="35">
        <v>77</v>
      </c>
      <c r="H100" s="35">
        <v>8</v>
      </c>
      <c r="I100" s="36">
        <v>0</v>
      </c>
      <c r="J100" s="37">
        <f t="shared" si="4"/>
        <v>49</v>
      </c>
      <c r="K100" s="37">
        <f t="shared" si="5"/>
        <v>85</v>
      </c>
      <c r="L100" s="37">
        <v>47</v>
      </c>
    </row>
    <row r="101" spans="1:12" ht="15.75" customHeight="1" x14ac:dyDescent="0.2">
      <c r="A101" t="s">
        <v>196</v>
      </c>
      <c r="B101" s="41" t="s">
        <v>111</v>
      </c>
      <c r="C101" s="34">
        <v>3</v>
      </c>
      <c r="D101" s="33" t="s">
        <v>25</v>
      </c>
      <c r="E101" s="35">
        <v>47</v>
      </c>
      <c r="F101" s="35">
        <v>16</v>
      </c>
      <c r="G101" s="35">
        <v>61</v>
      </c>
      <c r="H101" s="35">
        <v>24</v>
      </c>
      <c r="I101" s="36">
        <v>0</v>
      </c>
      <c r="J101" s="37">
        <f t="shared" si="4"/>
        <v>63</v>
      </c>
      <c r="K101" s="37">
        <f t="shared" si="5"/>
        <v>85</v>
      </c>
      <c r="L101" s="37">
        <v>47</v>
      </c>
    </row>
    <row r="102" spans="1:12" ht="15.75" customHeight="1" x14ac:dyDescent="0.2">
      <c r="A102" t="s">
        <v>238</v>
      </c>
      <c r="B102" s="42" t="s">
        <v>212</v>
      </c>
      <c r="C102" s="34">
        <v>4</v>
      </c>
      <c r="D102" s="33" t="s">
        <v>24</v>
      </c>
      <c r="E102" s="35">
        <v>70</v>
      </c>
      <c r="F102" s="35">
        <v>3</v>
      </c>
      <c r="G102" s="35">
        <v>79</v>
      </c>
      <c r="H102" s="35">
        <v>6</v>
      </c>
      <c r="I102" s="36">
        <v>0</v>
      </c>
      <c r="J102" s="37">
        <f t="shared" si="4"/>
        <v>73</v>
      </c>
      <c r="K102" s="37">
        <f t="shared" si="5"/>
        <v>85</v>
      </c>
      <c r="L102" s="48">
        <f>+J102</f>
        <v>73</v>
      </c>
    </row>
    <row r="103" spans="1:12" ht="15.75" customHeight="1" x14ac:dyDescent="0.2">
      <c r="A103">
        <v>7</v>
      </c>
      <c r="B103" s="41" t="s">
        <v>1</v>
      </c>
      <c r="C103" s="34">
        <v>5</v>
      </c>
      <c r="D103" s="33" t="s">
        <v>11</v>
      </c>
      <c r="E103" s="39">
        <v>78</v>
      </c>
      <c r="F103" s="35">
        <v>7</v>
      </c>
      <c r="G103" s="35">
        <v>78</v>
      </c>
      <c r="H103" s="35">
        <v>7</v>
      </c>
      <c r="I103" s="36">
        <v>0</v>
      </c>
      <c r="J103" s="37">
        <f t="shared" si="4"/>
        <v>85</v>
      </c>
      <c r="K103" s="37">
        <f t="shared" si="5"/>
        <v>85</v>
      </c>
      <c r="L103" s="48">
        <f>+J103</f>
        <v>85</v>
      </c>
    </row>
  </sheetData>
  <autoFilter ref="A2:L103" xr:uid="{7C99ABBF-207D-41D3-A411-1432A2CE1A2F}">
    <sortState xmlns:xlrd2="http://schemas.microsoft.com/office/spreadsheetml/2017/richdata2" ref="A3:L103">
      <sortCondition ref="K2:K103"/>
    </sortState>
  </autoFilter>
  <sortState xmlns:xlrd2="http://schemas.microsoft.com/office/spreadsheetml/2017/richdata2" ref="A3:K103">
    <sortCondition ref="J3:J103"/>
  </sortState>
  <dataValidations count="6">
    <dataValidation allowBlank="1" showInputMessage="1" showErrorMessage="1" prompt="Escriba el porcentaje de proyecto completado en la columna G, a partir de la celda G5." sqref="I2" xr:uid="{7FF92AFB-9756-4CE5-89AA-ECD87AF4C3B4}"/>
    <dataValidation allowBlank="1" showInputMessage="1" showErrorMessage="1" prompt="Escriba el periodo de duración real del plan en la columna F, a partir de la celda F5." sqref="H2" xr:uid="{4F46F9E4-A200-4F85-82E0-0E68D7F44728}"/>
    <dataValidation allowBlank="1" showInputMessage="1" showErrorMessage="1" prompt="Escriba el periodo de inicio real del plan en la columna E, a partir de la celda E5." sqref="G2" xr:uid="{CD508C92-556C-4C84-80EE-41D1354CF789}"/>
    <dataValidation allowBlank="1" showInputMessage="1" showErrorMessage="1" prompt="Escriba el periodo de duración del plan en la columna D, a partir de la celda D5." sqref="F2" xr:uid="{F84D1592-7A16-42BC-BC8A-4FF2E572BB6D}"/>
    <dataValidation allowBlank="1" showInputMessage="1" showErrorMessage="1" prompt="Escriba el periodo de inicio del plan en la columna C, a partir de la celda C5." sqref="E2" xr:uid="{DE591E4C-4B6E-4F3F-9A47-DF0145E11264}"/>
    <dataValidation allowBlank="1" showInputMessage="1" showErrorMessage="1" prompt="Escriba la actividad en la columna B, a partir de la celda B5_x000a_" sqref="B2:D2" xr:uid="{4A1C9154-C7FE-4D4D-A245-629BF4513E8A}"/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B0B5A-A35C-4F89-84EB-1087DB2673FE}">
  <dimension ref="A2:H102"/>
  <sheetViews>
    <sheetView topLeftCell="A9" workbookViewId="0">
      <selection activeCell="A2" sqref="A2:H102"/>
    </sheetView>
  </sheetViews>
  <sheetFormatPr defaultRowHeight="15" x14ac:dyDescent="0.25"/>
  <cols>
    <col min="2" max="2" width="70.75" customWidth="1"/>
  </cols>
  <sheetData>
    <row r="2" spans="1:8" ht="17.25" x14ac:dyDescent="0.3">
      <c r="A2" t="s">
        <v>128</v>
      </c>
      <c r="B2" s="22" t="s">
        <v>43</v>
      </c>
      <c r="C2" s="27"/>
      <c r="D2" s="6" t="s">
        <v>25</v>
      </c>
      <c r="E2" s="7">
        <v>1</v>
      </c>
      <c r="F2" s="7">
        <v>2</v>
      </c>
      <c r="G2" s="7">
        <v>1</v>
      </c>
      <c r="H2" s="7">
        <v>3</v>
      </c>
    </row>
    <row r="3" spans="1:8" ht="17.25" x14ac:dyDescent="0.3">
      <c r="A3" t="s">
        <v>129</v>
      </c>
      <c r="B3" s="22" t="s">
        <v>44</v>
      </c>
      <c r="C3" s="27"/>
      <c r="D3" s="6" t="s">
        <v>25</v>
      </c>
      <c r="E3" s="7">
        <v>2</v>
      </c>
      <c r="F3" s="7">
        <v>2</v>
      </c>
      <c r="G3" s="7">
        <v>3</v>
      </c>
      <c r="H3" s="7">
        <v>3</v>
      </c>
    </row>
    <row r="4" spans="1:8" ht="17.25" x14ac:dyDescent="0.3">
      <c r="A4" t="s">
        <v>130</v>
      </c>
      <c r="B4" s="22" t="s">
        <v>45</v>
      </c>
      <c r="C4" s="27"/>
      <c r="D4" s="6" t="s">
        <v>25</v>
      </c>
      <c r="E4" s="7">
        <v>4</v>
      </c>
      <c r="F4" s="7">
        <v>2</v>
      </c>
      <c r="G4" s="7">
        <v>6</v>
      </c>
      <c r="H4" s="7">
        <v>3</v>
      </c>
    </row>
    <row r="5" spans="1:8" ht="17.25" x14ac:dyDescent="0.3">
      <c r="A5" t="s">
        <v>131</v>
      </c>
      <c r="B5" s="22" t="s">
        <v>46</v>
      </c>
      <c r="C5" s="27"/>
      <c r="D5" s="6" t="s">
        <v>25</v>
      </c>
      <c r="E5" s="7">
        <v>6</v>
      </c>
      <c r="F5" s="7">
        <v>2</v>
      </c>
      <c r="G5" s="7">
        <v>9</v>
      </c>
      <c r="H5" s="7">
        <v>3</v>
      </c>
    </row>
    <row r="6" spans="1:8" ht="17.25" x14ac:dyDescent="0.3">
      <c r="A6" t="s">
        <v>132</v>
      </c>
      <c r="B6" s="22" t="s">
        <v>47</v>
      </c>
      <c r="C6" s="27"/>
      <c r="D6" s="6" t="s">
        <v>25</v>
      </c>
      <c r="E6" s="7">
        <v>8</v>
      </c>
      <c r="F6" s="7">
        <v>2</v>
      </c>
      <c r="G6" s="7">
        <v>12</v>
      </c>
      <c r="H6" s="7">
        <v>3</v>
      </c>
    </row>
    <row r="7" spans="1:8" ht="34.5" x14ac:dyDescent="0.3">
      <c r="A7" t="s">
        <v>134</v>
      </c>
      <c r="B7" s="22" t="s">
        <v>38</v>
      </c>
      <c r="C7" s="27"/>
      <c r="D7" s="6" t="s">
        <v>11</v>
      </c>
      <c r="E7" s="7">
        <v>13</v>
      </c>
      <c r="F7" s="7">
        <v>1</v>
      </c>
      <c r="G7" s="7">
        <v>13</v>
      </c>
      <c r="H7" s="7">
        <v>1</v>
      </c>
    </row>
    <row r="8" spans="1:8" ht="17.25" x14ac:dyDescent="0.3">
      <c r="A8" t="s">
        <v>135</v>
      </c>
      <c r="B8" s="22" t="s">
        <v>39</v>
      </c>
      <c r="C8" s="27"/>
      <c r="D8" s="6" t="s">
        <v>11</v>
      </c>
      <c r="E8" s="7">
        <v>14</v>
      </c>
      <c r="F8" s="7">
        <v>1</v>
      </c>
      <c r="G8" s="7">
        <v>14</v>
      </c>
      <c r="H8" s="7">
        <v>1</v>
      </c>
    </row>
    <row r="9" spans="1:8" ht="17.25" x14ac:dyDescent="0.3">
      <c r="A9" t="s">
        <v>136</v>
      </c>
      <c r="B9" s="22" t="s">
        <v>40</v>
      </c>
      <c r="C9" s="27"/>
      <c r="D9" s="6" t="s">
        <v>11</v>
      </c>
      <c r="E9" s="7">
        <v>15</v>
      </c>
      <c r="F9" s="7">
        <v>1</v>
      </c>
      <c r="G9" s="7">
        <v>15</v>
      </c>
      <c r="H9" s="7">
        <v>1</v>
      </c>
    </row>
    <row r="10" spans="1:8" ht="17.25" x14ac:dyDescent="0.3">
      <c r="A10" t="s">
        <v>137</v>
      </c>
      <c r="B10" s="22" t="s">
        <v>41</v>
      </c>
      <c r="C10" s="27"/>
      <c r="D10" s="6" t="s">
        <v>11</v>
      </c>
      <c r="E10" s="7">
        <v>16</v>
      </c>
      <c r="F10" s="7">
        <v>1</v>
      </c>
      <c r="G10" s="7">
        <v>16</v>
      </c>
      <c r="H10" s="7">
        <v>1</v>
      </c>
    </row>
    <row r="11" spans="1:8" ht="17.25" x14ac:dyDescent="0.3">
      <c r="A11" t="s">
        <v>138</v>
      </c>
      <c r="B11" s="22" t="s">
        <v>42</v>
      </c>
      <c r="C11" s="27"/>
      <c r="D11" s="6" t="s">
        <v>11</v>
      </c>
      <c r="E11" s="7">
        <v>17</v>
      </c>
      <c r="F11" s="7">
        <v>1</v>
      </c>
      <c r="G11" s="7">
        <v>17</v>
      </c>
      <c r="H11" s="7">
        <v>1</v>
      </c>
    </row>
    <row r="12" spans="1:8" ht="17.25" x14ac:dyDescent="0.3">
      <c r="A12" t="s">
        <v>140</v>
      </c>
      <c r="B12" s="22" t="s">
        <v>34</v>
      </c>
      <c r="C12" s="27"/>
      <c r="D12" s="6" t="s">
        <v>11</v>
      </c>
      <c r="E12" s="7">
        <v>11</v>
      </c>
      <c r="F12" s="7">
        <v>0.5</v>
      </c>
      <c r="G12" s="7">
        <v>11</v>
      </c>
      <c r="H12" s="7">
        <v>0.5</v>
      </c>
    </row>
    <row r="13" spans="1:8" ht="17.25" x14ac:dyDescent="0.3">
      <c r="A13" t="s">
        <v>141</v>
      </c>
      <c r="B13" s="22" t="s">
        <v>35</v>
      </c>
      <c r="C13" s="27"/>
      <c r="D13" s="6" t="s">
        <v>11</v>
      </c>
      <c r="E13" s="7">
        <v>12</v>
      </c>
      <c r="F13" s="7">
        <v>2</v>
      </c>
      <c r="G13" s="7">
        <v>12</v>
      </c>
      <c r="H13" s="7">
        <v>2</v>
      </c>
    </row>
    <row r="14" spans="1:8" ht="17.25" x14ac:dyDescent="0.3">
      <c r="A14" t="s">
        <v>142</v>
      </c>
      <c r="B14" s="22" t="s">
        <v>36</v>
      </c>
      <c r="C14" s="27"/>
      <c r="D14" s="6" t="s">
        <v>11</v>
      </c>
      <c r="E14" s="7">
        <v>13</v>
      </c>
      <c r="F14" s="7">
        <v>1</v>
      </c>
      <c r="G14" s="7">
        <v>13</v>
      </c>
      <c r="H14" s="7">
        <v>1</v>
      </c>
    </row>
    <row r="15" spans="1:8" ht="17.25" x14ac:dyDescent="0.3">
      <c r="A15" t="s">
        <v>143</v>
      </c>
      <c r="B15" s="22" t="s">
        <v>37</v>
      </c>
      <c r="C15" s="27"/>
      <c r="D15" s="6" t="s">
        <v>11</v>
      </c>
      <c r="E15" s="7">
        <v>14</v>
      </c>
      <c r="F15" s="7">
        <v>0.5</v>
      </c>
      <c r="G15" s="7">
        <v>14</v>
      </c>
      <c r="H15" s="7">
        <v>0.5</v>
      </c>
    </row>
    <row r="16" spans="1:8" ht="17.25" x14ac:dyDescent="0.3">
      <c r="A16">
        <v>2</v>
      </c>
      <c r="B16" s="6" t="s">
        <v>8</v>
      </c>
      <c r="C16" s="26">
        <v>1</v>
      </c>
      <c r="D16" s="6" t="s">
        <v>11</v>
      </c>
      <c r="E16" s="7" t="e">
        <f>+#REF!+#REF!</f>
        <v>#REF!</v>
      </c>
      <c r="F16" s="7">
        <v>14</v>
      </c>
      <c r="G16" s="7">
        <v>15</v>
      </c>
      <c r="H16" s="7">
        <v>14</v>
      </c>
    </row>
    <row r="17" spans="1:8" ht="17.25" x14ac:dyDescent="0.3">
      <c r="A17" t="s">
        <v>144</v>
      </c>
      <c r="B17" s="6" t="s">
        <v>30</v>
      </c>
      <c r="C17" s="26">
        <v>1</v>
      </c>
      <c r="D17" s="6" t="s">
        <v>11</v>
      </c>
      <c r="E17" s="7">
        <v>15</v>
      </c>
      <c r="F17" s="7">
        <v>9</v>
      </c>
      <c r="G17" s="7">
        <v>15</v>
      </c>
      <c r="H17" s="7">
        <v>9</v>
      </c>
    </row>
    <row r="18" spans="1:8" ht="34.5" x14ac:dyDescent="0.3">
      <c r="A18" t="s">
        <v>146</v>
      </c>
      <c r="B18" s="22" t="s">
        <v>48</v>
      </c>
      <c r="C18" s="27">
        <v>2</v>
      </c>
      <c r="D18" s="6" t="s">
        <v>22</v>
      </c>
      <c r="E18" s="7">
        <v>26</v>
      </c>
      <c r="F18" s="7">
        <v>0.5</v>
      </c>
      <c r="G18" s="7">
        <v>27</v>
      </c>
      <c r="H18" s="7">
        <v>1</v>
      </c>
    </row>
    <row r="19" spans="1:8" ht="34.5" x14ac:dyDescent="0.3">
      <c r="A19" t="s">
        <v>147</v>
      </c>
      <c r="B19" s="22" t="s">
        <v>49</v>
      </c>
      <c r="C19" s="27">
        <v>2</v>
      </c>
      <c r="D19" s="6" t="s">
        <v>22</v>
      </c>
      <c r="E19" s="7">
        <v>27</v>
      </c>
      <c r="F19" s="7">
        <v>0.5</v>
      </c>
      <c r="G19" s="7">
        <v>28</v>
      </c>
      <c r="H19" s="7">
        <v>1</v>
      </c>
    </row>
    <row r="20" spans="1:8" ht="34.5" x14ac:dyDescent="0.3">
      <c r="A20" t="s">
        <v>148</v>
      </c>
      <c r="B20" s="22" t="s">
        <v>50</v>
      </c>
      <c r="C20" s="27">
        <v>2</v>
      </c>
      <c r="D20" s="6" t="s">
        <v>22</v>
      </c>
      <c r="E20" s="7">
        <v>28</v>
      </c>
      <c r="F20" s="7">
        <v>1</v>
      </c>
      <c r="G20" s="7">
        <v>29</v>
      </c>
      <c r="H20" s="7">
        <v>2</v>
      </c>
    </row>
    <row r="21" spans="1:8" ht="34.5" x14ac:dyDescent="0.3">
      <c r="A21" t="s">
        <v>149</v>
      </c>
      <c r="B21" s="22" t="s">
        <v>51</v>
      </c>
      <c r="C21" s="27">
        <v>2</v>
      </c>
      <c r="D21" s="6" t="s">
        <v>22</v>
      </c>
      <c r="E21" s="7">
        <v>29</v>
      </c>
      <c r="F21" s="7">
        <v>1.5</v>
      </c>
      <c r="G21" s="7">
        <v>31</v>
      </c>
      <c r="H21" s="7">
        <v>3</v>
      </c>
    </row>
    <row r="22" spans="1:8" ht="34.5" x14ac:dyDescent="0.3">
      <c r="A22" t="s">
        <v>150</v>
      </c>
      <c r="B22" s="22" t="s">
        <v>52</v>
      </c>
      <c r="C22" s="27">
        <v>2</v>
      </c>
      <c r="D22" s="6" t="s">
        <v>22</v>
      </c>
      <c r="E22" s="7">
        <v>30</v>
      </c>
      <c r="F22" s="7">
        <v>1.5</v>
      </c>
      <c r="G22" s="7">
        <v>34</v>
      </c>
      <c r="H22" s="7">
        <v>3</v>
      </c>
    </row>
    <row r="23" spans="1:8" ht="34.5" x14ac:dyDescent="0.3">
      <c r="A23" t="s">
        <v>151</v>
      </c>
      <c r="B23" s="22" t="s">
        <v>53</v>
      </c>
      <c r="C23" s="27">
        <v>2</v>
      </c>
      <c r="D23" s="6" t="s">
        <v>22</v>
      </c>
      <c r="E23" s="7">
        <v>31</v>
      </c>
      <c r="F23" s="7">
        <v>0.5</v>
      </c>
      <c r="G23" s="7">
        <v>37</v>
      </c>
      <c r="H23" s="7">
        <v>1</v>
      </c>
    </row>
    <row r="24" spans="1:8" ht="34.5" x14ac:dyDescent="0.3">
      <c r="A24" t="s">
        <v>152</v>
      </c>
      <c r="B24" s="22" t="s">
        <v>54</v>
      </c>
      <c r="C24" s="27">
        <v>2</v>
      </c>
      <c r="D24" s="6" t="s">
        <v>22</v>
      </c>
      <c r="E24" s="7">
        <v>32</v>
      </c>
      <c r="F24" s="7">
        <v>1</v>
      </c>
      <c r="G24" s="7">
        <v>38</v>
      </c>
      <c r="H24" s="7">
        <v>2</v>
      </c>
    </row>
    <row r="25" spans="1:8" ht="34.5" x14ac:dyDescent="0.3">
      <c r="A25" t="s">
        <v>153</v>
      </c>
      <c r="B25" s="22" t="s">
        <v>55</v>
      </c>
      <c r="C25" s="27">
        <v>2</v>
      </c>
      <c r="D25" s="6" t="s">
        <v>22</v>
      </c>
      <c r="E25" s="7">
        <v>33</v>
      </c>
      <c r="F25" s="7">
        <v>1.5</v>
      </c>
      <c r="G25" s="7">
        <v>40</v>
      </c>
      <c r="H25" s="7">
        <v>3</v>
      </c>
    </row>
    <row r="26" spans="1:8" ht="34.5" x14ac:dyDescent="0.3">
      <c r="A26" t="s">
        <v>154</v>
      </c>
      <c r="B26" s="22" t="s">
        <v>56</v>
      </c>
      <c r="C26" s="27">
        <v>2</v>
      </c>
      <c r="D26" s="6" t="s">
        <v>22</v>
      </c>
      <c r="E26" s="7">
        <v>34</v>
      </c>
      <c r="F26" s="7">
        <v>0.5</v>
      </c>
      <c r="G26" s="7">
        <v>42</v>
      </c>
      <c r="H26" s="7">
        <v>1</v>
      </c>
    </row>
    <row r="27" spans="1:8" ht="17.25" x14ac:dyDescent="0.3">
      <c r="A27" t="s">
        <v>156</v>
      </c>
      <c r="B27" s="22" t="s">
        <v>83</v>
      </c>
      <c r="C27" s="27">
        <v>2</v>
      </c>
      <c r="D27" s="6" t="s">
        <v>24</v>
      </c>
      <c r="E27" s="7">
        <v>26</v>
      </c>
      <c r="F27" s="7">
        <v>7</v>
      </c>
      <c r="G27" s="7">
        <v>26</v>
      </c>
      <c r="H27" s="7">
        <v>8</v>
      </c>
    </row>
    <row r="28" spans="1:8" ht="17.25" x14ac:dyDescent="0.3">
      <c r="A28" t="s">
        <v>157</v>
      </c>
      <c r="B28" s="22" t="s">
        <v>84</v>
      </c>
      <c r="C28" s="27">
        <v>2</v>
      </c>
      <c r="D28" s="6" t="s">
        <v>24</v>
      </c>
      <c r="E28" s="7">
        <v>33</v>
      </c>
      <c r="F28" s="7">
        <v>7</v>
      </c>
      <c r="G28" s="7">
        <v>34</v>
      </c>
      <c r="H28" s="7">
        <v>9</v>
      </c>
    </row>
    <row r="29" spans="1:8" ht="17.25" x14ac:dyDescent="0.3">
      <c r="A29" t="s">
        <v>159</v>
      </c>
      <c r="B29" s="22" t="s">
        <v>79</v>
      </c>
      <c r="C29" s="27">
        <v>2</v>
      </c>
      <c r="D29" s="6" t="s">
        <v>26</v>
      </c>
      <c r="E29" s="7">
        <v>36</v>
      </c>
      <c r="F29" s="7">
        <v>1</v>
      </c>
      <c r="G29" s="7">
        <v>36</v>
      </c>
      <c r="H29" s="7">
        <v>1</v>
      </c>
    </row>
    <row r="30" spans="1:8" ht="17.25" x14ac:dyDescent="0.3">
      <c r="A30" t="s">
        <v>160</v>
      </c>
      <c r="B30" s="22" t="s">
        <v>80</v>
      </c>
      <c r="C30" s="27">
        <v>2</v>
      </c>
      <c r="D30" s="6" t="s">
        <v>26</v>
      </c>
      <c r="E30" s="7">
        <v>37</v>
      </c>
      <c r="F30" s="7">
        <v>1</v>
      </c>
      <c r="G30" s="7">
        <v>37</v>
      </c>
      <c r="H30" s="7">
        <v>1</v>
      </c>
    </row>
    <row r="31" spans="1:8" ht="17.25" x14ac:dyDescent="0.3">
      <c r="A31" t="s">
        <v>161</v>
      </c>
      <c r="B31" s="22" t="s">
        <v>81</v>
      </c>
      <c r="C31" s="27">
        <v>2</v>
      </c>
      <c r="D31" s="6" t="s">
        <v>26</v>
      </c>
      <c r="E31" s="7">
        <v>38</v>
      </c>
      <c r="F31" s="7">
        <v>1</v>
      </c>
      <c r="G31" s="7">
        <v>38</v>
      </c>
      <c r="H31" s="7">
        <v>1</v>
      </c>
    </row>
    <row r="32" spans="1:8" ht="17.25" x14ac:dyDescent="0.3">
      <c r="A32" t="s">
        <v>162</v>
      </c>
      <c r="B32" s="22" t="s">
        <v>82</v>
      </c>
      <c r="C32" s="27">
        <v>2</v>
      </c>
      <c r="D32" s="6" t="s">
        <v>26</v>
      </c>
      <c r="E32" s="7">
        <v>39</v>
      </c>
      <c r="F32" s="7">
        <v>1</v>
      </c>
      <c r="G32" s="7">
        <v>39</v>
      </c>
      <c r="H32" s="7">
        <v>1</v>
      </c>
    </row>
    <row r="33" spans="1:8" ht="17.25" x14ac:dyDescent="0.3">
      <c r="A33" t="s">
        <v>164</v>
      </c>
      <c r="B33" s="22" t="s">
        <v>48</v>
      </c>
      <c r="C33" s="27">
        <v>2</v>
      </c>
      <c r="D33" s="6" t="s">
        <v>113</v>
      </c>
      <c r="E33" s="7">
        <v>28</v>
      </c>
      <c r="F33" s="7">
        <v>1</v>
      </c>
      <c r="G33" s="7">
        <v>28</v>
      </c>
      <c r="H33" s="7">
        <v>1</v>
      </c>
    </row>
    <row r="34" spans="1:8" ht="34.5" x14ac:dyDescent="0.3">
      <c r="A34" t="s">
        <v>165</v>
      </c>
      <c r="B34" s="22" t="s">
        <v>85</v>
      </c>
      <c r="C34" s="27">
        <v>2</v>
      </c>
      <c r="D34" s="6" t="s">
        <v>113</v>
      </c>
      <c r="E34" s="7">
        <v>29</v>
      </c>
      <c r="F34" s="7">
        <v>1</v>
      </c>
      <c r="G34" s="7">
        <v>29</v>
      </c>
      <c r="H34" s="7">
        <v>2</v>
      </c>
    </row>
    <row r="35" spans="1:8" ht="51.75" x14ac:dyDescent="0.3">
      <c r="A35" t="s">
        <v>166</v>
      </c>
      <c r="B35" s="22" t="s">
        <v>86</v>
      </c>
      <c r="C35" s="27">
        <v>2</v>
      </c>
      <c r="D35" s="6" t="s">
        <v>113</v>
      </c>
      <c r="E35" s="7">
        <v>30</v>
      </c>
      <c r="F35" s="7">
        <v>2</v>
      </c>
      <c r="G35" s="7">
        <v>31</v>
      </c>
      <c r="H35" s="7">
        <v>2</v>
      </c>
    </row>
    <row r="36" spans="1:8" ht="34.5" x14ac:dyDescent="0.3">
      <c r="A36" t="s">
        <v>167</v>
      </c>
      <c r="B36" s="22" t="s">
        <v>87</v>
      </c>
      <c r="C36" s="27">
        <v>2</v>
      </c>
      <c r="D36" s="6" t="s">
        <v>113</v>
      </c>
      <c r="E36" s="7">
        <v>32</v>
      </c>
      <c r="F36" s="7">
        <v>1</v>
      </c>
      <c r="G36" s="7">
        <v>33</v>
      </c>
      <c r="H36" s="7">
        <v>1</v>
      </c>
    </row>
    <row r="37" spans="1:8" ht="34.5" x14ac:dyDescent="0.3">
      <c r="A37" t="s">
        <v>168</v>
      </c>
      <c r="B37" s="22" t="s">
        <v>88</v>
      </c>
      <c r="C37" s="27">
        <v>2</v>
      </c>
      <c r="D37" s="6" t="s">
        <v>113</v>
      </c>
      <c r="E37" s="7">
        <v>33</v>
      </c>
      <c r="F37" s="7">
        <v>1</v>
      </c>
      <c r="G37" s="7">
        <v>34</v>
      </c>
      <c r="H37" s="7">
        <v>2</v>
      </c>
    </row>
    <row r="38" spans="1:8" ht="34.5" x14ac:dyDescent="0.3">
      <c r="A38" t="s">
        <v>169</v>
      </c>
      <c r="B38" s="22" t="s">
        <v>89</v>
      </c>
      <c r="C38" s="27">
        <v>2</v>
      </c>
      <c r="D38" s="6" t="s">
        <v>113</v>
      </c>
      <c r="E38" s="7">
        <v>34</v>
      </c>
      <c r="F38" s="7">
        <v>2</v>
      </c>
      <c r="G38" s="7">
        <v>36</v>
      </c>
      <c r="H38" s="7">
        <v>2</v>
      </c>
    </row>
    <row r="39" spans="1:8" ht="34.5" x14ac:dyDescent="0.3">
      <c r="A39" t="s">
        <v>170</v>
      </c>
      <c r="B39" s="22" t="s">
        <v>90</v>
      </c>
      <c r="C39" s="27">
        <v>2</v>
      </c>
      <c r="D39" s="6" t="s">
        <v>113</v>
      </c>
      <c r="E39" s="7">
        <v>36</v>
      </c>
      <c r="F39" s="7">
        <v>1</v>
      </c>
      <c r="G39" s="7">
        <v>38</v>
      </c>
      <c r="H39" s="7">
        <v>2</v>
      </c>
    </row>
    <row r="40" spans="1:8" ht="34.5" x14ac:dyDescent="0.3">
      <c r="A40" t="s">
        <v>172</v>
      </c>
      <c r="B40" s="22" t="s">
        <v>57</v>
      </c>
      <c r="C40" s="27">
        <v>2</v>
      </c>
      <c r="D40" s="6" t="s">
        <v>25</v>
      </c>
      <c r="E40" s="7">
        <v>36</v>
      </c>
      <c r="F40" s="7">
        <v>2</v>
      </c>
      <c r="G40" s="7">
        <v>36</v>
      </c>
      <c r="H40" s="7">
        <v>2</v>
      </c>
    </row>
    <row r="41" spans="1:8" ht="17.25" x14ac:dyDescent="0.3">
      <c r="A41" t="s">
        <v>173</v>
      </c>
      <c r="B41" s="22" t="s">
        <v>58</v>
      </c>
      <c r="C41" s="27">
        <v>2</v>
      </c>
      <c r="D41" s="6" t="s">
        <v>25</v>
      </c>
      <c r="E41" s="7">
        <v>38</v>
      </c>
      <c r="F41" s="7">
        <v>1</v>
      </c>
      <c r="G41" s="7">
        <v>38</v>
      </c>
      <c r="H41" s="7">
        <v>1</v>
      </c>
    </row>
    <row r="42" spans="1:8" ht="17.25" x14ac:dyDescent="0.3">
      <c r="A42" t="s">
        <v>174</v>
      </c>
      <c r="B42" s="22" t="s">
        <v>59</v>
      </c>
      <c r="C42" s="27">
        <v>2</v>
      </c>
      <c r="D42" s="6" t="s">
        <v>25</v>
      </c>
      <c r="E42" s="7">
        <v>39</v>
      </c>
      <c r="F42" s="7">
        <v>2</v>
      </c>
      <c r="G42" s="7">
        <v>39</v>
      </c>
      <c r="H42" s="7">
        <v>2</v>
      </c>
    </row>
    <row r="43" spans="1:8" ht="17.25" x14ac:dyDescent="0.3">
      <c r="A43" t="s">
        <v>175</v>
      </c>
      <c r="B43" s="22" t="s">
        <v>60</v>
      </c>
      <c r="C43" s="27">
        <v>2</v>
      </c>
      <c r="D43" s="6" t="s">
        <v>25</v>
      </c>
      <c r="E43" s="7">
        <v>41</v>
      </c>
      <c r="F43" s="7">
        <v>2</v>
      </c>
      <c r="G43" s="7">
        <v>41</v>
      </c>
      <c r="H43" s="7">
        <v>1</v>
      </c>
    </row>
    <row r="44" spans="1:8" ht="17.25" x14ac:dyDescent="0.3">
      <c r="A44" t="s">
        <v>176</v>
      </c>
      <c r="B44" s="22" t="s">
        <v>61</v>
      </c>
      <c r="C44" s="27">
        <v>2</v>
      </c>
      <c r="D44" s="6" t="s">
        <v>25</v>
      </c>
      <c r="E44" s="7">
        <v>43</v>
      </c>
      <c r="F44" s="7">
        <v>2</v>
      </c>
      <c r="G44" s="7">
        <v>42</v>
      </c>
      <c r="H44" s="7">
        <v>1</v>
      </c>
    </row>
    <row r="45" spans="1:8" ht="17.25" x14ac:dyDescent="0.3">
      <c r="A45" t="s">
        <v>178</v>
      </c>
      <c r="B45" s="22" t="s">
        <v>99</v>
      </c>
      <c r="C45" s="27"/>
      <c r="D45" s="6" t="s">
        <v>11</v>
      </c>
      <c r="E45" s="7">
        <v>37</v>
      </c>
      <c r="F45" s="7">
        <v>3</v>
      </c>
      <c r="G45" s="7">
        <v>37</v>
      </c>
      <c r="H45" s="7">
        <v>3</v>
      </c>
    </row>
    <row r="46" spans="1:8" ht="17.25" x14ac:dyDescent="0.3">
      <c r="A46" t="s">
        <v>179</v>
      </c>
      <c r="B46" s="22" t="s">
        <v>100</v>
      </c>
      <c r="C46" s="27"/>
      <c r="D46" s="6" t="s">
        <v>11</v>
      </c>
      <c r="E46" s="7">
        <v>37</v>
      </c>
      <c r="F46" s="7">
        <v>3</v>
      </c>
      <c r="G46" s="7">
        <v>37</v>
      </c>
      <c r="H46" s="7">
        <v>3</v>
      </c>
    </row>
    <row r="47" spans="1:8" ht="17.25" x14ac:dyDescent="0.3">
      <c r="A47" t="s">
        <v>180</v>
      </c>
      <c r="B47" s="22" t="s">
        <v>101</v>
      </c>
      <c r="C47" s="27"/>
      <c r="D47" s="6" t="s">
        <v>11</v>
      </c>
      <c r="E47" s="7">
        <v>37</v>
      </c>
      <c r="F47" s="7">
        <v>3</v>
      </c>
      <c r="G47" s="7">
        <v>37</v>
      </c>
      <c r="H47" s="7">
        <v>3</v>
      </c>
    </row>
    <row r="48" spans="1:8" ht="17.25" x14ac:dyDescent="0.3">
      <c r="A48" t="s">
        <v>181</v>
      </c>
      <c r="B48" s="22" t="s">
        <v>102</v>
      </c>
      <c r="C48" s="27"/>
      <c r="D48" s="6" t="s">
        <v>11</v>
      </c>
      <c r="E48" s="7">
        <v>37</v>
      </c>
      <c r="F48" s="7">
        <v>3</v>
      </c>
      <c r="G48" s="7">
        <v>37</v>
      </c>
      <c r="H48" s="7">
        <v>3</v>
      </c>
    </row>
    <row r="49" spans="1:8" ht="17.25" x14ac:dyDescent="0.3">
      <c r="A49" t="s">
        <v>182</v>
      </c>
      <c r="B49" s="22" t="s">
        <v>103</v>
      </c>
      <c r="C49" s="27"/>
      <c r="D49" s="6" t="s">
        <v>11</v>
      </c>
      <c r="E49" s="7">
        <v>37</v>
      </c>
      <c r="F49" s="7">
        <v>3</v>
      </c>
      <c r="G49" s="7">
        <v>37</v>
      </c>
      <c r="H49" s="7">
        <v>3</v>
      </c>
    </row>
    <row r="50" spans="1:8" ht="17.25" x14ac:dyDescent="0.3">
      <c r="A50" t="s">
        <v>184</v>
      </c>
      <c r="B50" s="22" t="s">
        <v>99</v>
      </c>
      <c r="C50" s="27"/>
      <c r="D50" s="6" t="s">
        <v>11</v>
      </c>
      <c r="E50" s="7">
        <v>40</v>
      </c>
      <c r="F50" s="7">
        <v>3</v>
      </c>
      <c r="G50" s="7">
        <v>40</v>
      </c>
      <c r="H50" s="7">
        <v>3</v>
      </c>
    </row>
    <row r="51" spans="1:8" ht="17.25" x14ac:dyDescent="0.3">
      <c r="A51" t="s">
        <v>185</v>
      </c>
      <c r="B51" s="22" t="s">
        <v>100</v>
      </c>
      <c r="C51" s="27"/>
      <c r="D51" s="6" t="s">
        <v>11</v>
      </c>
      <c r="E51" s="7">
        <v>40</v>
      </c>
      <c r="F51" s="7">
        <v>3</v>
      </c>
      <c r="G51" s="7">
        <v>40</v>
      </c>
      <c r="H51" s="7">
        <v>3</v>
      </c>
    </row>
    <row r="52" spans="1:8" ht="17.25" x14ac:dyDescent="0.3">
      <c r="A52" t="s">
        <v>186</v>
      </c>
      <c r="B52" s="22" t="s">
        <v>101</v>
      </c>
      <c r="C52" s="27"/>
      <c r="D52" s="6" t="s">
        <v>11</v>
      </c>
      <c r="E52" s="7">
        <v>40</v>
      </c>
      <c r="F52" s="7">
        <v>3</v>
      </c>
      <c r="G52" s="7">
        <v>40</v>
      </c>
      <c r="H52" s="7">
        <v>3</v>
      </c>
    </row>
    <row r="53" spans="1:8" ht="17.25" x14ac:dyDescent="0.3">
      <c r="A53" t="s">
        <v>187</v>
      </c>
      <c r="B53" s="22" t="s">
        <v>102</v>
      </c>
      <c r="C53" s="27"/>
      <c r="D53" s="6" t="s">
        <v>11</v>
      </c>
      <c r="E53" s="7">
        <v>40</v>
      </c>
      <c r="F53" s="7">
        <v>3</v>
      </c>
      <c r="G53" s="7">
        <v>40</v>
      </c>
      <c r="H53" s="7">
        <v>3</v>
      </c>
    </row>
    <row r="54" spans="1:8" ht="17.25" x14ac:dyDescent="0.3">
      <c r="A54" t="s">
        <v>188</v>
      </c>
      <c r="B54" s="22" t="s">
        <v>103</v>
      </c>
      <c r="C54" s="27"/>
      <c r="D54" s="6" t="s">
        <v>11</v>
      </c>
      <c r="E54" s="7">
        <v>40</v>
      </c>
      <c r="F54" s="7">
        <v>3</v>
      </c>
      <c r="G54" s="7">
        <v>40</v>
      </c>
      <c r="H54" s="7">
        <v>3</v>
      </c>
    </row>
    <row r="55" spans="1:8" ht="17.25" x14ac:dyDescent="0.3">
      <c r="A55" t="s">
        <v>190</v>
      </c>
      <c r="B55" s="22" t="s">
        <v>105</v>
      </c>
      <c r="C55" s="27">
        <v>3</v>
      </c>
      <c r="D55" s="6" t="s">
        <v>93</v>
      </c>
      <c r="E55" s="7">
        <v>39</v>
      </c>
      <c r="F55" s="7">
        <v>0.5</v>
      </c>
      <c r="G55" s="7">
        <v>39</v>
      </c>
      <c r="H55" s="7">
        <v>6</v>
      </c>
    </row>
    <row r="56" spans="1:8" ht="17.25" x14ac:dyDescent="0.3">
      <c r="A56" t="s">
        <v>191</v>
      </c>
      <c r="B56" s="22" t="s">
        <v>106</v>
      </c>
      <c r="C56" s="27">
        <v>3</v>
      </c>
      <c r="D56" s="6" t="s">
        <v>93</v>
      </c>
      <c r="E56" s="7">
        <v>39</v>
      </c>
      <c r="F56" s="7">
        <v>0.5</v>
      </c>
      <c r="G56" s="7">
        <v>45</v>
      </c>
      <c r="H56" s="7">
        <v>6</v>
      </c>
    </row>
    <row r="57" spans="1:8" ht="17.25" x14ac:dyDescent="0.3">
      <c r="A57" t="s">
        <v>192</v>
      </c>
      <c r="B57" s="22" t="s">
        <v>107</v>
      </c>
      <c r="C57" s="27">
        <v>3</v>
      </c>
      <c r="D57" s="6" t="s">
        <v>93</v>
      </c>
      <c r="E57" s="7">
        <v>40</v>
      </c>
      <c r="F57" s="7">
        <v>1</v>
      </c>
      <c r="G57" s="7">
        <v>51</v>
      </c>
      <c r="H57" s="7">
        <v>6</v>
      </c>
    </row>
    <row r="58" spans="1:8" ht="17.25" x14ac:dyDescent="0.3">
      <c r="A58" t="s">
        <v>228</v>
      </c>
      <c r="B58" s="22" t="s">
        <v>108</v>
      </c>
      <c r="C58" s="27">
        <v>3</v>
      </c>
      <c r="D58" s="6" t="s">
        <v>93</v>
      </c>
      <c r="E58" s="7">
        <v>41</v>
      </c>
      <c r="F58" s="7">
        <v>1</v>
      </c>
      <c r="G58" s="7">
        <v>57</v>
      </c>
      <c r="H58" s="7">
        <v>6</v>
      </c>
    </row>
    <row r="59" spans="1:8" ht="34.5" x14ac:dyDescent="0.3">
      <c r="A59" t="s">
        <v>229</v>
      </c>
      <c r="B59" s="22" t="s">
        <v>109</v>
      </c>
      <c r="C59" s="27">
        <v>3</v>
      </c>
      <c r="D59" s="6" t="s">
        <v>93</v>
      </c>
      <c r="E59" s="7">
        <v>42</v>
      </c>
      <c r="F59" s="7">
        <v>2</v>
      </c>
      <c r="G59" s="7">
        <v>63</v>
      </c>
      <c r="H59" s="7">
        <v>6</v>
      </c>
    </row>
    <row r="60" spans="1:8" ht="17.25" x14ac:dyDescent="0.3">
      <c r="A60" t="s">
        <v>230</v>
      </c>
      <c r="B60" s="22" t="s">
        <v>110</v>
      </c>
      <c r="C60" s="27">
        <v>3</v>
      </c>
      <c r="D60" s="6" t="s">
        <v>93</v>
      </c>
      <c r="E60" s="7">
        <v>44</v>
      </c>
      <c r="F60" s="7">
        <v>2</v>
      </c>
      <c r="G60" s="7">
        <v>69</v>
      </c>
      <c r="H60" s="7">
        <v>7</v>
      </c>
    </row>
    <row r="61" spans="1:8" ht="17.25" x14ac:dyDescent="0.3">
      <c r="A61" t="s">
        <v>193</v>
      </c>
      <c r="B61" s="6" t="s">
        <v>95</v>
      </c>
      <c r="C61" s="26">
        <v>3</v>
      </c>
      <c r="D61" s="6" t="s">
        <v>24</v>
      </c>
      <c r="E61" s="7">
        <v>41</v>
      </c>
      <c r="F61" s="7">
        <v>5</v>
      </c>
      <c r="G61" s="7">
        <v>41</v>
      </c>
      <c r="H61" s="7">
        <v>5</v>
      </c>
    </row>
    <row r="62" spans="1:8" ht="17.25" x14ac:dyDescent="0.3">
      <c r="A62" t="s">
        <v>194</v>
      </c>
      <c r="B62" s="6" t="s">
        <v>96</v>
      </c>
      <c r="C62" s="26">
        <v>3</v>
      </c>
      <c r="D62" s="6" t="s">
        <v>26</v>
      </c>
      <c r="E62" s="7">
        <v>41</v>
      </c>
      <c r="F62" s="7">
        <v>6</v>
      </c>
      <c r="G62" s="7">
        <v>55</v>
      </c>
      <c r="H62" s="7">
        <v>6</v>
      </c>
    </row>
    <row r="63" spans="1:8" ht="17.25" x14ac:dyDescent="0.3">
      <c r="A63" t="s">
        <v>231</v>
      </c>
      <c r="B63" s="22" t="s">
        <v>120</v>
      </c>
      <c r="C63" s="26">
        <v>3</v>
      </c>
      <c r="D63" s="6" t="s">
        <v>25</v>
      </c>
      <c r="E63" s="7">
        <v>45</v>
      </c>
      <c r="F63" s="7">
        <v>1</v>
      </c>
      <c r="G63" s="7">
        <v>59</v>
      </c>
      <c r="H63" s="7">
        <v>9</v>
      </c>
    </row>
    <row r="64" spans="1:8" ht="17.25" x14ac:dyDescent="0.3">
      <c r="A64" t="s">
        <v>232</v>
      </c>
      <c r="B64" s="22" t="s">
        <v>121</v>
      </c>
      <c r="C64" s="26">
        <v>3</v>
      </c>
      <c r="D64" s="6" t="s">
        <v>25</v>
      </c>
      <c r="E64" s="7">
        <v>46</v>
      </c>
      <c r="F64" s="7">
        <v>1</v>
      </c>
      <c r="G64" s="7">
        <v>68</v>
      </c>
      <c r="H64" s="7">
        <v>9</v>
      </c>
    </row>
    <row r="65" spans="1:8" ht="17.25" x14ac:dyDescent="0.3">
      <c r="A65" t="s">
        <v>233</v>
      </c>
      <c r="B65" s="22" t="s">
        <v>122</v>
      </c>
      <c r="C65" s="26">
        <v>3</v>
      </c>
      <c r="D65" s="6" t="s">
        <v>25</v>
      </c>
      <c r="E65" s="7">
        <v>47</v>
      </c>
      <c r="F65" s="7">
        <v>2</v>
      </c>
      <c r="G65" s="7">
        <v>77</v>
      </c>
      <c r="H65" s="7">
        <v>8</v>
      </c>
    </row>
    <row r="66" spans="1:8" ht="17.25" x14ac:dyDescent="0.3">
      <c r="A66" t="s">
        <v>196</v>
      </c>
      <c r="B66" s="6" t="s">
        <v>111</v>
      </c>
      <c r="C66" s="26">
        <v>3</v>
      </c>
      <c r="D66" s="6" t="s">
        <v>25</v>
      </c>
      <c r="E66" s="7">
        <v>47</v>
      </c>
      <c r="F66" s="7">
        <v>16</v>
      </c>
      <c r="G66" s="7">
        <v>61</v>
      </c>
      <c r="H66" s="7">
        <v>24</v>
      </c>
    </row>
    <row r="67" spans="1:8" ht="17.25" x14ac:dyDescent="0.3">
      <c r="A67" t="s">
        <v>197</v>
      </c>
      <c r="B67" s="6" t="s">
        <v>123</v>
      </c>
      <c r="C67" s="26">
        <v>3</v>
      </c>
      <c r="D67" s="6" t="s">
        <v>125</v>
      </c>
      <c r="E67" s="7">
        <v>57</v>
      </c>
      <c r="F67" s="7">
        <v>3</v>
      </c>
      <c r="G67" s="7">
        <v>57</v>
      </c>
      <c r="H67" s="7">
        <v>10</v>
      </c>
    </row>
    <row r="68" spans="1:8" ht="17.25" x14ac:dyDescent="0.3">
      <c r="A68" t="s">
        <v>198</v>
      </c>
      <c r="B68" s="6" t="s">
        <v>124</v>
      </c>
      <c r="C68" s="26">
        <v>3</v>
      </c>
      <c r="D68" s="6" t="s">
        <v>24</v>
      </c>
      <c r="E68" s="7">
        <v>57</v>
      </c>
      <c r="F68" s="7">
        <v>3</v>
      </c>
      <c r="G68" s="7">
        <v>57</v>
      </c>
      <c r="H68" s="7">
        <v>10</v>
      </c>
    </row>
    <row r="69" spans="1:8" ht="34.5" x14ac:dyDescent="0.3">
      <c r="A69" t="s">
        <v>199</v>
      </c>
      <c r="B69" s="6" t="s">
        <v>206</v>
      </c>
      <c r="C69" s="26">
        <v>3</v>
      </c>
      <c r="D69" s="6" t="s">
        <v>22</v>
      </c>
      <c r="E69" s="7">
        <v>63</v>
      </c>
      <c r="F69" s="7">
        <v>1</v>
      </c>
      <c r="G69" s="7">
        <v>67</v>
      </c>
      <c r="H69" s="7">
        <v>7</v>
      </c>
    </row>
    <row r="70" spans="1:8" ht="17.25" x14ac:dyDescent="0.3">
      <c r="A70" t="s">
        <v>234</v>
      </c>
      <c r="B70" s="22" t="s">
        <v>208</v>
      </c>
      <c r="C70" s="26">
        <v>4</v>
      </c>
      <c r="D70" s="6" t="s">
        <v>24</v>
      </c>
      <c r="E70" s="7">
        <v>58</v>
      </c>
      <c r="F70" s="7">
        <v>4</v>
      </c>
      <c r="G70" s="7">
        <v>58</v>
      </c>
      <c r="H70" s="7">
        <v>5</v>
      </c>
    </row>
    <row r="71" spans="1:8" ht="17.25" x14ac:dyDescent="0.3">
      <c r="A71" t="s">
        <v>235</v>
      </c>
      <c r="B71" s="22" t="s">
        <v>209</v>
      </c>
      <c r="C71" s="26">
        <v>4</v>
      </c>
      <c r="D71" s="6" t="s">
        <v>24</v>
      </c>
      <c r="E71" s="7">
        <v>62</v>
      </c>
      <c r="F71" s="7">
        <v>3</v>
      </c>
      <c r="G71" s="7">
        <v>63</v>
      </c>
      <c r="H71" s="7">
        <v>5</v>
      </c>
    </row>
    <row r="72" spans="1:8" ht="17.25" x14ac:dyDescent="0.3">
      <c r="A72" t="s">
        <v>236</v>
      </c>
      <c r="B72" s="22" t="s">
        <v>210</v>
      </c>
      <c r="C72" s="26">
        <v>4</v>
      </c>
      <c r="D72" s="6" t="s">
        <v>24</v>
      </c>
      <c r="E72" s="7">
        <v>65</v>
      </c>
      <c r="F72" s="7">
        <v>2</v>
      </c>
      <c r="G72" s="7">
        <v>68</v>
      </c>
      <c r="H72" s="7">
        <v>5</v>
      </c>
    </row>
    <row r="73" spans="1:8" ht="17.25" x14ac:dyDescent="0.3">
      <c r="A73" t="s">
        <v>237</v>
      </c>
      <c r="B73" s="22" t="s">
        <v>211</v>
      </c>
      <c r="C73" s="26">
        <v>4</v>
      </c>
      <c r="D73" s="6" t="s">
        <v>24</v>
      </c>
      <c r="E73" s="7">
        <v>67</v>
      </c>
      <c r="F73" s="7">
        <v>3</v>
      </c>
      <c r="G73" s="7">
        <v>73</v>
      </c>
      <c r="H73" s="7">
        <v>6</v>
      </c>
    </row>
    <row r="74" spans="1:8" ht="17.25" x14ac:dyDescent="0.3">
      <c r="A74" t="s">
        <v>238</v>
      </c>
      <c r="B74" s="22" t="s">
        <v>212</v>
      </c>
      <c r="C74" s="26">
        <v>4</v>
      </c>
      <c r="D74" s="6" t="s">
        <v>24</v>
      </c>
      <c r="E74" s="7">
        <v>70</v>
      </c>
      <c r="F74" s="7">
        <v>3</v>
      </c>
      <c r="G74" s="7">
        <v>79</v>
      </c>
      <c r="H74" s="7">
        <v>6</v>
      </c>
    </row>
    <row r="75" spans="1:8" ht="17.25" x14ac:dyDescent="0.3">
      <c r="B75" s="22" t="s">
        <v>65</v>
      </c>
      <c r="C75" s="27">
        <v>4</v>
      </c>
      <c r="D75" s="6" t="s">
        <v>24</v>
      </c>
      <c r="E75" s="7">
        <v>61</v>
      </c>
      <c r="F75" s="7">
        <v>1</v>
      </c>
      <c r="G75" s="7">
        <v>59</v>
      </c>
      <c r="H75" s="7">
        <v>1</v>
      </c>
    </row>
    <row r="76" spans="1:8" ht="17.25" x14ac:dyDescent="0.3">
      <c r="B76" s="22" t="s">
        <v>66</v>
      </c>
      <c r="C76" s="27">
        <v>4</v>
      </c>
      <c r="D76" s="6" t="s">
        <v>24</v>
      </c>
      <c r="E76" s="7">
        <v>62</v>
      </c>
      <c r="F76" s="7">
        <v>0.5</v>
      </c>
      <c r="G76" s="7">
        <v>60</v>
      </c>
      <c r="H76" s="7">
        <v>0.5</v>
      </c>
    </row>
    <row r="77" spans="1:8" ht="17.25" x14ac:dyDescent="0.3">
      <c r="B77" s="22" t="s">
        <v>67</v>
      </c>
      <c r="C77" s="27">
        <v>4</v>
      </c>
      <c r="D77" s="6" t="s">
        <v>24</v>
      </c>
      <c r="E77" s="7">
        <v>62</v>
      </c>
      <c r="F77" s="7">
        <v>1</v>
      </c>
      <c r="G77" s="7">
        <v>60</v>
      </c>
      <c r="H77" s="7">
        <v>1</v>
      </c>
    </row>
    <row r="78" spans="1:8" ht="17.25" x14ac:dyDescent="0.3">
      <c r="B78" s="22" t="s">
        <v>68</v>
      </c>
      <c r="C78" s="27">
        <v>4</v>
      </c>
      <c r="D78" s="6" t="s">
        <v>24</v>
      </c>
      <c r="E78" s="7">
        <v>63</v>
      </c>
      <c r="F78" s="7">
        <v>1</v>
      </c>
      <c r="G78" s="7">
        <v>61</v>
      </c>
      <c r="H78" s="7">
        <v>1</v>
      </c>
    </row>
    <row r="79" spans="1:8" ht="17.25" x14ac:dyDescent="0.3">
      <c r="B79" s="22" t="s">
        <v>69</v>
      </c>
      <c r="C79" s="27">
        <v>4</v>
      </c>
      <c r="D79" s="6" t="s">
        <v>24</v>
      </c>
      <c r="E79" s="7">
        <v>64</v>
      </c>
      <c r="F79" s="7">
        <v>0.5</v>
      </c>
      <c r="G79" s="7">
        <v>62</v>
      </c>
      <c r="H79" s="7">
        <v>0.5</v>
      </c>
    </row>
    <row r="80" spans="1:8" ht="17.25" x14ac:dyDescent="0.3">
      <c r="B80" s="22" t="s">
        <v>70</v>
      </c>
      <c r="C80" s="27">
        <v>4</v>
      </c>
      <c r="D80" s="6" t="s">
        <v>24</v>
      </c>
      <c r="E80" s="7">
        <v>65</v>
      </c>
      <c r="F80" s="7">
        <v>1</v>
      </c>
      <c r="G80" s="7">
        <v>62</v>
      </c>
      <c r="H80" s="7">
        <v>1</v>
      </c>
    </row>
    <row r="81" spans="1:8" ht="17.25" x14ac:dyDescent="0.3">
      <c r="B81" s="22" t="s">
        <v>71</v>
      </c>
      <c r="C81" s="27">
        <v>4</v>
      </c>
      <c r="D81" s="6" t="s">
        <v>24</v>
      </c>
      <c r="E81" s="7">
        <v>66</v>
      </c>
      <c r="F81" s="7">
        <v>0.5</v>
      </c>
      <c r="G81" s="7">
        <v>62</v>
      </c>
      <c r="H81" s="7">
        <v>0.5</v>
      </c>
    </row>
    <row r="82" spans="1:8" ht="17.25" x14ac:dyDescent="0.3">
      <c r="B82" s="22" t="s">
        <v>72</v>
      </c>
      <c r="C82" s="27">
        <v>4</v>
      </c>
      <c r="D82" s="6" t="s">
        <v>24</v>
      </c>
      <c r="E82" s="7">
        <v>66</v>
      </c>
      <c r="F82" s="7">
        <v>1</v>
      </c>
      <c r="G82" s="7">
        <v>62</v>
      </c>
      <c r="H82" s="7">
        <v>1</v>
      </c>
    </row>
    <row r="83" spans="1:8" ht="34.5" x14ac:dyDescent="0.3">
      <c r="B83" s="22" t="s">
        <v>73</v>
      </c>
      <c r="C83" s="27">
        <v>4</v>
      </c>
      <c r="D83" s="6" t="s">
        <v>24</v>
      </c>
      <c r="E83" s="7">
        <v>67</v>
      </c>
      <c r="F83" s="7">
        <v>0.5</v>
      </c>
      <c r="G83" s="7">
        <v>63</v>
      </c>
      <c r="H83" s="7">
        <v>0.5</v>
      </c>
    </row>
    <row r="84" spans="1:8" ht="17.25" x14ac:dyDescent="0.3">
      <c r="B84" s="22" t="s">
        <v>74</v>
      </c>
      <c r="C84" s="27">
        <v>4</v>
      </c>
      <c r="D84" s="6" t="s">
        <v>24</v>
      </c>
      <c r="E84" s="7">
        <v>67</v>
      </c>
      <c r="F84" s="7">
        <v>0.5</v>
      </c>
      <c r="G84" s="7">
        <v>63</v>
      </c>
      <c r="H84" s="7">
        <v>0.5</v>
      </c>
    </row>
    <row r="85" spans="1:8" ht="17.25" x14ac:dyDescent="0.3">
      <c r="B85" s="22" t="s">
        <v>75</v>
      </c>
      <c r="C85" s="27">
        <v>4</v>
      </c>
      <c r="D85" s="6" t="s">
        <v>24</v>
      </c>
      <c r="E85" s="7">
        <v>68</v>
      </c>
      <c r="F85" s="7">
        <v>0.5</v>
      </c>
      <c r="G85" s="7">
        <v>64</v>
      </c>
      <c r="H85" s="7">
        <v>0.5</v>
      </c>
    </row>
    <row r="86" spans="1:8" ht="17.25" x14ac:dyDescent="0.3">
      <c r="B86" s="22" t="s">
        <v>76</v>
      </c>
      <c r="C86" s="27">
        <v>4</v>
      </c>
      <c r="D86" s="6" t="s">
        <v>24</v>
      </c>
      <c r="E86" s="7">
        <v>69</v>
      </c>
      <c r="F86" s="7">
        <v>0.5</v>
      </c>
      <c r="G86" s="7">
        <v>65</v>
      </c>
      <c r="H86" s="7">
        <v>0.5</v>
      </c>
    </row>
    <row r="87" spans="1:8" ht="17.25" x14ac:dyDescent="0.3">
      <c r="B87" s="22" t="s">
        <v>77</v>
      </c>
      <c r="C87" s="27">
        <v>4</v>
      </c>
      <c r="D87" s="6" t="s">
        <v>24</v>
      </c>
      <c r="E87" s="7">
        <v>70</v>
      </c>
      <c r="F87" s="7">
        <v>0.5</v>
      </c>
      <c r="G87" s="7">
        <v>65</v>
      </c>
      <c r="H87" s="7">
        <v>0.5</v>
      </c>
    </row>
    <row r="88" spans="1:8" ht="17.25" x14ac:dyDescent="0.3">
      <c r="B88" s="22" t="s">
        <v>78</v>
      </c>
      <c r="C88" s="27">
        <v>4</v>
      </c>
      <c r="D88" s="6" t="s">
        <v>24</v>
      </c>
      <c r="E88" s="7">
        <v>70</v>
      </c>
      <c r="F88" s="7">
        <v>0.5</v>
      </c>
      <c r="G88" s="7">
        <v>66</v>
      </c>
      <c r="H88" s="7">
        <v>0.5</v>
      </c>
    </row>
    <row r="89" spans="1:8" ht="34.5" x14ac:dyDescent="0.3">
      <c r="A89" t="s">
        <v>239</v>
      </c>
      <c r="B89" s="22" t="s">
        <v>114</v>
      </c>
      <c r="C89" s="26">
        <v>4</v>
      </c>
      <c r="D89" s="6" t="s">
        <v>24</v>
      </c>
      <c r="E89" s="7">
        <v>58</v>
      </c>
      <c r="F89" s="7">
        <v>0.5</v>
      </c>
      <c r="G89" s="7">
        <v>75</v>
      </c>
      <c r="H89" s="7">
        <v>2</v>
      </c>
    </row>
    <row r="90" spans="1:8" ht="17.25" x14ac:dyDescent="0.3">
      <c r="A90" t="s">
        <v>240</v>
      </c>
      <c r="B90" s="22" t="s">
        <v>115</v>
      </c>
      <c r="C90" s="26">
        <v>4</v>
      </c>
      <c r="D90" s="6" t="s">
        <v>24</v>
      </c>
      <c r="E90" s="7">
        <v>58</v>
      </c>
      <c r="F90" s="7">
        <v>0.5</v>
      </c>
      <c r="G90" s="7">
        <v>77</v>
      </c>
      <c r="H90" s="7">
        <v>1</v>
      </c>
    </row>
    <row r="91" spans="1:8" ht="17.25" x14ac:dyDescent="0.3">
      <c r="A91" t="s">
        <v>241</v>
      </c>
      <c r="B91" s="22" t="s">
        <v>116</v>
      </c>
      <c r="C91" s="26">
        <v>4</v>
      </c>
      <c r="D91" s="6" t="s">
        <v>24</v>
      </c>
      <c r="E91" s="7">
        <v>59</v>
      </c>
      <c r="F91" s="7">
        <v>0.5</v>
      </c>
      <c r="G91" s="7">
        <v>78</v>
      </c>
      <c r="H91" s="7">
        <v>1</v>
      </c>
    </row>
    <row r="92" spans="1:8" ht="34.5" x14ac:dyDescent="0.3">
      <c r="A92" t="s">
        <v>242</v>
      </c>
      <c r="B92" s="22" t="s">
        <v>117</v>
      </c>
      <c r="C92" s="26">
        <v>4</v>
      </c>
      <c r="D92" s="6" t="s">
        <v>24</v>
      </c>
      <c r="E92" s="7">
        <v>59</v>
      </c>
      <c r="F92" s="7">
        <v>0.5</v>
      </c>
      <c r="G92" s="7">
        <v>79</v>
      </c>
      <c r="H92" s="7">
        <v>2</v>
      </c>
    </row>
    <row r="93" spans="1:8" ht="17.25" x14ac:dyDescent="0.3">
      <c r="A93" t="s">
        <v>243</v>
      </c>
      <c r="B93" s="22" t="s">
        <v>118</v>
      </c>
      <c r="C93" s="26">
        <v>4</v>
      </c>
      <c r="D93" s="6" t="s">
        <v>24</v>
      </c>
      <c r="E93" s="7">
        <v>60</v>
      </c>
      <c r="F93" s="7">
        <v>0.5</v>
      </c>
      <c r="G93" s="7">
        <v>81</v>
      </c>
      <c r="H93" s="7">
        <v>1</v>
      </c>
    </row>
    <row r="94" spans="1:8" ht="34.5" x14ac:dyDescent="0.3">
      <c r="A94" t="s">
        <v>244</v>
      </c>
      <c r="B94" s="22" t="s">
        <v>119</v>
      </c>
      <c r="C94" s="26">
        <v>4</v>
      </c>
      <c r="D94" s="6" t="s">
        <v>24</v>
      </c>
      <c r="E94" s="7">
        <v>60</v>
      </c>
      <c r="F94" s="7">
        <v>0.5</v>
      </c>
      <c r="G94" s="7">
        <v>82</v>
      </c>
      <c r="H94" s="7">
        <v>1</v>
      </c>
    </row>
    <row r="95" spans="1:8" ht="17.25" x14ac:dyDescent="0.3">
      <c r="A95" t="s">
        <v>202</v>
      </c>
      <c r="B95" s="6" t="s">
        <v>216</v>
      </c>
      <c r="C95" s="26">
        <v>4</v>
      </c>
      <c r="D95" s="6" t="s">
        <v>125</v>
      </c>
      <c r="E95" s="7">
        <v>73</v>
      </c>
      <c r="F95" s="7">
        <v>3</v>
      </c>
      <c r="G95" s="7">
        <v>73</v>
      </c>
      <c r="H95" s="7">
        <v>10</v>
      </c>
    </row>
    <row r="96" spans="1:8" ht="17.25" x14ac:dyDescent="0.3">
      <c r="A96" t="s">
        <v>203</v>
      </c>
      <c r="B96" s="6" t="s">
        <v>217</v>
      </c>
      <c r="C96" s="26">
        <v>4</v>
      </c>
      <c r="D96" s="6" t="s">
        <v>125</v>
      </c>
      <c r="E96" s="7">
        <v>73</v>
      </c>
      <c r="F96" s="7">
        <v>3</v>
      </c>
      <c r="G96" s="7">
        <v>73</v>
      </c>
      <c r="H96" s="7">
        <v>11</v>
      </c>
    </row>
    <row r="97" spans="1:8" ht="17.25" x14ac:dyDescent="0.3">
      <c r="A97" t="s">
        <v>204</v>
      </c>
      <c r="B97" s="6" t="s">
        <v>218</v>
      </c>
      <c r="C97" s="26">
        <v>4</v>
      </c>
      <c r="D97" s="6" t="s">
        <v>125</v>
      </c>
      <c r="E97" s="7">
        <v>73</v>
      </c>
      <c r="F97" s="7">
        <v>3</v>
      </c>
      <c r="G97" s="7">
        <v>73</v>
      </c>
      <c r="H97" s="7">
        <v>5</v>
      </c>
    </row>
    <row r="98" spans="1:8" ht="34.5" x14ac:dyDescent="0.3">
      <c r="A98" t="s">
        <v>224</v>
      </c>
      <c r="B98" s="22" t="s">
        <v>220</v>
      </c>
      <c r="C98" s="26">
        <v>4</v>
      </c>
      <c r="D98" s="6" t="s">
        <v>125</v>
      </c>
      <c r="E98" s="7">
        <v>67</v>
      </c>
      <c r="F98" s="7">
        <v>0.5</v>
      </c>
      <c r="G98" s="7">
        <v>73</v>
      </c>
      <c r="H98" s="7">
        <v>1</v>
      </c>
    </row>
    <row r="99" spans="1:8" ht="17.25" x14ac:dyDescent="0.3">
      <c r="A99" t="s">
        <v>225</v>
      </c>
      <c r="B99" s="22" t="s">
        <v>221</v>
      </c>
      <c r="C99" s="26">
        <v>4</v>
      </c>
      <c r="D99" s="6" t="s">
        <v>125</v>
      </c>
      <c r="E99" s="7">
        <v>67</v>
      </c>
      <c r="F99" s="7">
        <v>0.5</v>
      </c>
      <c r="G99" s="7">
        <v>74</v>
      </c>
      <c r="H99" s="7">
        <v>1</v>
      </c>
    </row>
    <row r="100" spans="1:8" ht="34.5" x14ac:dyDescent="0.3">
      <c r="A100" t="s">
        <v>226</v>
      </c>
      <c r="B100" s="22" t="s">
        <v>222</v>
      </c>
      <c r="C100" s="26">
        <v>4</v>
      </c>
      <c r="D100" s="6" t="s">
        <v>125</v>
      </c>
      <c r="E100" s="7">
        <v>68</v>
      </c>
      <c r="F100" s="7">
        <v>1</v>
      </c>
      <c r="G100" s="7">
        <v>75</v>
      </c>
      <c r="H100" s="7">
        <v>1</v>
      </c>
    </row>
    <row r="101" spans="1:8" ht="17.25" x14ac:dyDescent="0.3">
      <c r="A101" t="s">
        <v>227</v>
      </c>
      <c r="B101" s="22" t="s">
        <v>223</v>
      </c>
      <c r="C101" s="26">
        <v>4</v>
      </c>
      <c r="D101" s="6" t="s">
        <v>125</v>
      </c>
      <c r="E101" s="7">
        <v>69</v>
      </c>
      <c r="F101" s="7">
        <v>1</v>
      </c>
      <c r="G101" s="7">
        <v>76</v>
      </c>
      <c r="H101" s="7">
        <v>1</v>
      </c>
    </row>
    <row r="102" spans="1:8" ht="17.25" x14ac:dyDescent="0.3">
      <c r="A102">
        <v>7</v>
      </c>
      <c r="B102" s="6" t="s">
        <v>1</v>
      </c>
      <c r="C102" s="26">
        <v>5</v>
      </c>
      <c r="D102" s="6" t="s">
        <v>11</v>
      </c>
      <c r="E102" s="7">
        <v>78</v>
      </c>
      <c r="F102" s="7">
        <v>7</v>
      </c>
      <c r="G102" s="7">
        <v>78</v>
      </c>
      <c r="H102" s="7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44719-513B-4AA6-B2A9-E1D1BD1F8CED}">
  <dimension ref="A1:G86"/>
  <sheetViews>
    <sheetView tabSelected="1" workbookViewId="0">
      <selection activeCell="D2" sqref="D2:D86"/>
    </sheetView>
  </sheetViews>
  <sheetFormatPr defaultRowHeight="14.25" x14ac:dyDescent="0.25"/>
  <cols>
    <col min="1" max="1" width="4.625" style="47" bestFit="1" customWidth="1"/>
    <col min="2" max="2" width="8.875" style="47" bestFit="1" customWidth="1"/>
    <col min="3" max="3" width="11.25" style="47" bestFit="1" customWidth="1"/>
    <col min="4" max="4" width="11.25" style="47" customWidth="1"/>
    <col min="5" max="16384" width="9" style="47"/>
  </cols>
  <sheetData>
    <row r="1" spans="1:7" ht="15" x14ac:dyDescent="0.25">
      <c r="A1" s="46" t="s">
        <v>249</v>
      </c>
      <c r="B1" s="46" t="s">
        <v>250</v>
      </c>
      <c r="C1" s="46" t="s">
        <v>251</v>
      </c>
      <c r="D1" s="46" t="s">
        <v>258</v>
      </c>
      <c r="E1" s="46" t="s">
        <v>253</v>
      </c>
      <c r="F1" s="46" t="s">
        <v>254</v>
      </c>
      <c r="G1" s="46" t="s">
        <v>255</v>
      </c>
    </row>
    <row r="2" spans="1:7" x14ac:dyDescent="0.25">
      <c r="A2" s="47">
        <v>1</v>
      </c>
      <c r="B2" s="47">
        <v>0</v>
      </c>
      <c r="C2" s="47">
        <v>0</v>
      </c>
      <c r="D2" s="47">
        <v>0</v>
      </c>
      <c r="E2" s="47">
        <f>101-B2</f>
        <v>101</v>
      </c>
      <c r="F2" s="47">
        <f>101-C2</f>
        <v>101</v>
      </c>
      <c r="G2" s="49">
        <f>+C2/101</f>
        <v>0</v>
      </c>
    </row>
    <row r="3" spans="1:7" x14ac:dyDescent="0.25">
      <c r="A3" s="47">
        <v>2</v>
      </c>
      <c r="B3" s="47">
        <v>0</v>
      </c>
      <c r="C3" s="47">
        <v>0</v>
      </c>
      <c r="D3" s="47">
        <f>+C3-C2</f>
        <v>0</v>
      </c>
      <c r="E3" s="47">
        <f t="shared" ref="E3:E66" si="0">101-B3</f>
        <v>101</v>
      </c>
      <c r="F3" s="47">
        <f t="shared" ref="F3:F66" si="1">101-C3</f>
        <v>101</v>
      </c>
      <c r="G3" s="49">
        <f t="shared" ref="G3:G66" si="2">+C3/101</f>
        <v>0</v>
      </c>
    </row>
    <row r="4" spans="1:7" x14ac:dyDescent="0.25">
      <c r="A4" s="47">
        <v>3</v>
      </c>
      <c r="B4" s="47">
        <v>0</v>
      </c>
      <c r="C4" s="47">
        <v>0</v>
      </c>
      <c r="D4" s="47">
        <f t="shared" ref="D4:D67" si="3">+C4-C3</f>
        <v>0</v>
      </c>
      <c r="E4" s="47">
        <f t="shared" si="0"/>
        <v>101</v>
      </c>
      <c r="F4" s="47">
        <f t="shared" si="1"/>
        <v>101</v>
      </c>
      <c r="G4" s="49">
        <f t="shared" si="2"/>
        <v>0</v>
      </c>
    </row>
    <row r="5" spans="1:7" x14ac:dyDescent="0.25">
      <c r="A5" s="47">
        <v>4</v>
      </c>
      <c r="B5" s="47">
        <v>0</v>
      </c>
      <c r="C5" s="47">
        <v>1</v>
      </c>
      <c r="D5" s="47">
        <f t="shared" si="3"/>
        <v>1</v>
      </c>
      <c r="E5" s="47">
        <f t="shared" si="0"/>
        <v>101</v>
      </c>
      <c r="F5" s="47">
        <f t="shared" si="1"/>
        <v>100</v>
      </c>
      <c r="G5" s="49">
        <f t="shared" si="2"/>
        <v>9.9009900990099011E-3</v>
      </c>
    </row>
    <row r="6" spans="1:7" x14ac:dyDescent="0.25">
      <c r="A6" s="47">
        <v>5</v>
      </c>
      <c r="B6" s="47">
        <v>0</v>
      </c>
      <c r="C6" s="47">
        <v>1</v>
      </c>
      <c r="D6" s="47">
        <f t="shared" si="3"/>
        <v>0</v>
      </c>
      <c r="E6" s="47">
        <f t="shared" si="0"/>
        <v>101</v>
      </c>
      <c r="F6" s="47">
        <f t="shared" si="1"/>
        <v>100</v>
      </c>
      <c r="G6" s="49">
        <f t="shared" si="2"/>
        <v>9.9009900990099011E-3</v>
      </c>
    </row>
    <row r="7" spans="1:7" x14ac:dyDescent="0.25">
      <c r="A7" s="47">
        <v>6</v>
      </c>
      <c r="B7" s="47">
        <v>0</v>
      </c>
      <c r="C7" s="47">
        <v>2</v>
      </c>
      <c r="D7" s="47">
        <f t="shared" si="3"/>
        <v>1</v>
      </c>
      <c r="E7" s="47">
        <f t="shared" si="0"/>
        <v>101</v>
      </c>
      <c r="F7" s="47">
        <f t="shared" si="1"/>
        <v>99</v>
      </c>
      <c r="G7" s="49">
        <f t="shared" si="2"/>
        <v>1.9801980198019802E-2</v>
      </c>
    </row>
    <row r="8" spans="1:7" x14ac:dyDescent="0.25">
      <c r="A8" s="47">
        <v>7</v>
      </c>
      <c r="B8" s="47">
        <v>0</v>
      </c>
      <c r="C8" s="47">
        <v>2</v>
      </c>
      <c r="D8" s="47">
        <f t="shared" si="3"/>
        <v>0</v>
      </c>
      <c r="E8" s="47">
        <f t="shared" si="0"/>
        <v>101</v>
      </c>
      <c r="F8" s="47">
        <f t="shared" si="1"/>
        <v>99</v>
      </c>
      <c r="G8" s="49">
        <f t="shared" si="2"/>
        <v>1.9801980198019802E-2</v>
      </c>
    </row>
    <row r="9" spans="1:7" x14ac:dyDescent="0.25">
      <c r="A9" s="47">
        <v>8</v>
      </c>
      <c r="B9" s="47">
        <v>0</v>
      </c>
      <c r="C9" s="47">
        <v>2</v>
      </c>
      <c r="D9" s="47">
        <f t="shared" si="3"/>
        <v>0</v>
      </c>
      <c r="E9" s="47">
        <f t="shared" si="0"/>
        <v>101</v>
      </c>
      <c r="F9" s="47">
        <f t="shared" si="1"/>
        <v>99</v>
      </c>
      <c r="G9" s="49">
        <f t="shared" si="2"/>
        <v>1.9801980198019802E-2</v>
      </c>
    </row>
    <row r="10" spans="1:7" x14ac:dyDescent="0.25">
      <c r="A10" s="47">
        <v>9</v>
      </c>
      <c r="B10" s="47">
        <v>0</v>
      </c>
      <c r="C10" s="47">
        <v>3</v>
      </c>
      <c r="D10" s="47">
        <f t="shared" si="3"/>
        <v>1</v>
      </c>
      <c r="E10" s="47">
        <f t="shared" si="0"/>
        <v>101</v>
      </c>
      <c r="F10" s="47">
        <f t="shared" si="1"/>
        <v>98</v>
      </c>
      <c r="G10" s="49">
        <f t="shared" si="2"/>
        <v>2.9702970297029702E-2</v>
      </c>
    </row>
    <row r="11" spans="1:7" x14ac:dyDescent="0.25">
      <c r="A11" s="47">
        <v>10</v>
      </c>
      <c r="B11" s="47">
        <v>0</v>
      </c>
      <c r="C11" s="47">
        <v>3</v>
      </c>
      <c r="D11" s="47">
        <f t="shared" si="3"/>
        <v>0</v>
      </c>
      <c r="E11" s="47">
        <f t="shared" si="0"/>
        <v>101</v>
      </c>
      <c r="F11" s="47">
        <f t="shared" si="1"/>
        <v>98</v>
      </c>
      <c r="G11" s="49">
        <f t="shared" si="2"/>
        <v>2.9702970297029702E-2</v>
      </c>
    </row>
    <row r="12" spans="1:7" x14ac:dyDescent="0.25">
      <c r="A12" s="47">
        <v>11</v>
      </c>
      <c r="B12" s="47">
        <v>5</v>
      </c>
      <c r="C12" s="47">
        <v>4</v>
      </c>
      <c r="D12" s="47">
        <f t="shared" si="3"/>
        <v>1</v>
      </c>
      <c r="E12" s="47">
        <f t="shared" si="0"/>
        <v>96</v>
      </c>
      <c r="F12" s="47">
        <f t="shared" si="1"/>
        <v>97</v>
      </c>
      <c r="G12" s="49">
        <f t="shared" si="2"/>
        <v>3.9603960396039604E-2</v>
      </c>
    </row>
    <row r="13" spans="1:7" x14ac:dyDescent="0.25">
      <c r="A13" s="47">
        <v>12</v>
      </c>
      <c r="B13" s="47">
        <v>6</v>
      </c>
      <c r="C13" s="47">
        <v>5</v>
      </c>
      <c r="D13" s="47">
        <f t="shared" si="3"/>
        <v>1</v>
      </c>
      <c r="E13" s="47">
        <f t="shared" si="0"/>
        <v>95</v>
      </c>
      <c r="F13" s="47">
        <f t="shared" si="1"/>
        <v>96</v>
      </c>
      <c r="G13" s="49">
        <f t="shared" si="2"/>
        <v>4.9504950495049507E-2</v>
      </c>
    </row>
    <row r="14" spans="1:7" x14ac:dyDescent="0.25">
      <c r="A14" s="47">
        <v>13</v>
      </c>
      <c r="B14" s="47">
        <v>6</v>
      </c>
      <c r="C14" s="47">
        <v>5</v>
      </c>
      <c r="D14" s="47">
        <f t="shared" si="3"/>
        <v>0</v>
      </c>
      <c r="E14" s="47">
        <f t="shared" si="0"/>
        <v>95</v>
      </c>
      <c r="F14" s="47">
        <f t="shared" si="1"/>
        <v>96</v>
      </c>
      <c r="G14" s="49">
        <f t="shared" si="2"/>
        <v>4.9504950495049507E-2</v>
      </c>
    </row>
    <row r="15" spans="1:7" x14ac:dyDescent="0.25">
      <c r="A15" s="47">
        <v>14</v>
      </c>
      <c r="B15" s="47">
        <v>13</v>
      </c>
      <c r="C15" s="47">
        <v>9</v>
      </c>
      <c r="D15" s="47">
        <f t="shared" si="3"/>
        <v>4</v>
      </c>
      <c r="E15" s="47">
        <f t="shared" si="0"/>
        <v>88</v>
      </c>
      <c r="F15" s="47">
        <f t="shared" si="1"/>
        <v>92</v>
      </c>
      <c r="G15" s="49">
        <f t="shared" si="2"/>
        <v>8.9108910891089105E-2</v>
      </c>
    </row>
    <row r="16" spans="1:7" x14ac:dyDescent="0.25">
      <c r="A16" s="47">
        <v>15</v>
      </c>
      <c r="B16" s="47">
        <v>15</v>
      </c>
      <c r="C16" s="47">
        <v>11</v>
      </c>
      <c r="D16" s="47">
        <f t="shared" si="3"/>
        <v>2</v>
      </c>
      <c r="E16" s="47">
        <f t="shared" si="0"/>
        <v>86</v>
      </c>
      <c r="F16" s="47">
        <f t="shared" si="1"/>
        <v>90</v>
      </c>
      <c r="G16" s="49">
        <f t="shared" si="2"/>
        <v>0.10891089108910891</v>
      </c>
    </row>
    <row r="17" spans="1:7" x14ac:dyDescent="0.25">
      <c r="A17" s="47">
        <v>16</v>
      </c>
      <c r="B17" s="47">
        <v>15</v>
      </c>
      <c r="C17" s="47">
        <v>12</v>
      </c>
      <c r="D17" s="47">
        <f t="shared" si="3"/>
        <v>1</v>
      </c>
      <c r="E17" s="47">
        <f t="shared" si="0"/>
        <v>86</v>
      </c>
      <c r="F17" s="47">
        <f t="shared" si="1"/>
        <v>89</v>
      </c>
      <c r="G17" s="49">
        <f t="shared" si="2"/>
        <v>0.11881188118811881</v>
      </c>
    </row>
    <row r="18" spans="1:7" x14ac:dyDescent="0.25">
      <c r="A18" s="47">
        <v>17</v>
      </c>
      <c r="B18" s="47">
        <v>15</v>
      </c>
      <c r="C18" s="47">
        <v>13</v>
      </c>
      <c r="D18" s="47">
        <f t="shared" si="3"/>
        <v>1</v>
      </c>
      <c r="E18" s="47">
        <f t="shared" si="0"/>
        <v>86</v>
      </c>
      <c r="F18" s="47">
        <f t="shared" si="1"/>
        <v>88</v>
      </c>
      <c r="G18" s="49">
        <f t="shared" si="2"/>
        <v>0.12871287128712872</v>
      </c>
    </row>
    <row r="19" spans="1:7" x14ac:dyDescent="0.25">
      <c r="A19" s="47">
        <v>18</v>
      </c>
      <c r="B19" s="47">
        <v>15</v>
      </c>
      <c r="C19" s="47">
        <v>14</v>
      </c>
      <c r="D19" s="47">
        <f t="shared" si="3"/>
        <v>1</v>
      </c>
      <c r="E19" s="47">
        <f t="shared" si="0"/>
        <v>86</v>
      </c>
      <c r="F19" s="47">
        <f t="shared" si="1"/>
        <v>87</v>
      </c>
      <c r="G19" s="49">
        <f t="shared" si="2"/>
        <v>0.13861386138613863</v>
      </c>
    </row>
    <row r="20" spans="1:7" x14ac:dyDescent="0.25">
      <c r="A20" s="47">
        <v>19</v>
      </c>
      <c r="B20" s="47">
        <v>15</v>
      </c>
      <c r="C20" s="47">
        <v>14</v>
      </c>
      <c r="D20" s="47">
        <f t="shared" si="3"/>
        <v>0</v>
      </c>
      <c r="E20" s="47">
        <f t="shared" si="0"/>
        <v>86</v>
      </c>
      <c r="F20" s="47">
        <f t="shared" si="1"/>
        <v>87</v>
      </c>
      <c r="G20" s="49">
        <f t="shared" si="2"/>
        <v>0.13861386138613863</v>
      </c>
    </row>
    <row r="21" spans="1:7" x14ac:dyDescent="0.25">
      <c r="A21" s="47">
        <v>20</v>
      </c>
      <c r="B21" s="47">
        <v>15</v>
      </c>
      <c r="C21" s="47">
        <v>14</v>
      </c>
      <c r="D21" s="47">
        <f t="shared" si="3"/>
        <v>0</v>
      </c>
      <c r="E21" s="47">
        <f t="shared" si="0"/>
        <v>86</v>
      </c>
      <c r="F21" s="47">
        <f t="shared" si="1"/>
        <v>87</v>
      </c>
      <c r="G21" s="49">
        <f t="shared" si="2"/>
        <v>0.13861386138613863</v>
      </c>
    </row>
    <row r="22" spans="1:7" x14ac:dyDescent="0.25">
      <c r="A22" s="47">
        <v>21</v>
      </c>
      <c r="B22" s="47">
        <v>15</v>
      </c>
      <c r="C22" s="47">
        <v>14</v>
      </c>
      <c r="D22" s="47">
        <f t="shared" si="3"/>
        <v>0</v>
      </c>
      <c r="E22" s="47">
        <f t="shared" si="0"/>
        <v>86</v>
      </c>
      <c r="F22" s="47">
        <f t="shared" si="1"/>
        <v>87</v>
      </c>
      <c r="G22" s="49">
        <f t="shared" si="2"/>
        <v>0.13861386138613863</v>
      </c>
    </row>
    <row r="23" spans="1:7" x14ac:dyDescent="0.25">
      <c r="A23" s="47">
        <v>22</v>
      </c>
      <c r="B23" s="47">
        <v>15</v>
      </c>
      <c r="C23" s="47">
        <v>14</v>
      </c>
      <c r="D23" s="47">
        <f t="shared" si="3"/>
        <v>0</v>
      </c>
      <c r="E23" s="47">
        <f t="shared" si="0"/>
        <v>86</v>
      </c>
      <c r="F23" s="47">
        <f t="shared" si="1"/>
        <v>87</v>
      </c>
      <c r="G23" s="49">
        <f t="shared" si="2"/>
        <v>0.13861386138613863</v>
      </c>
    </row>
    <row r="24" spans="1:7" x14ac:dyDescent="0.25">
      <c r="A24" s="47">
        <v>23</v>
      </c>
      <c r="B24" s="47">
        <v>15</v>
      </c>
      <c r="C24" s="47">
        <v>14</v>
      </c>
      <c r="D24" s="47">
        <f t="shared" si="3"/>
        <v>0</v>
      </c>
      <c r="E24" s="47">
        <f t="shared" si="0"/>
        <v>86</v>
      </c>
      <c r="F24" s="47">
        <f t="shared" si="1"/>
        <v>87</v>
      </c>
      <c r="G24" s="49">
        <f t="shared" si="2"/>
        <v>0.13861386138613863</v>
      </c>
    </row>
    <row r="25" spans="1:7" x14ac:dyDescent="0.25">
      <c r="A25" s="47">
        <v>24</v>
      </c>
      <c r="B25" s="47">
        <v>16</v>
      </c>
      <c r="C25" s="47">
        <v>15</v>
      </c>
      <c r="D25" s="47">
        <f t="shared" si="3"/>
        <v>1</v>
      </c>
      <c r="E25" s="47">
        <f t="shared" si="0"/>
        <v>85</v>
      </c>
      <c r="F25" s="47">
        <f t="shared" si="1"/>
        <v>86</v>
      </c>
      <c r="G25" s="49">
        <f t="shared" si="2"/>
        <v>0.14851485148514851</v>
      </c>
    </row>
    <row r="26" spans="1:7" x14ac:dyDescent="0.25">
      <c r="A26" s="47">
        <v>25</v>
      </c>
      <c r="B26" s="47">
        <v>16</v>
      </c>
      <c r="C26" s="47">
        <v>15</v>
      </c>
      <c r="D26" s="47">
        <f t="shared" si="3"/>
        <v>0</v>
      </c>
      <c r="E26" s="47">
        <f t="shared" si="0"/>
        <v>85</v>
      </c>
      <c r="F26" s="47">
        <f t="shared" si="1"/>
        <v>86</v>
      </c>
      <c r="G26" s="49">
        <f t="shared" si="2"/>
        <v>0.14851485148514851</v>
      </c>
    </row>
    <row r="27" spans="1:7" x14ac:dyDescent="0.25">
      <c r="A27" s="47">
        <v>26</v>
      </c>
      <c r="B27" s="47">
        <v>16</v>
      </c>
      <c r="C27" s="47">
        <v>15</v>
      </c>
      <c r="D27" s="47">
        <f t="shared" si="3"/>
        <v>0</v>
      </c>
      <c r="E27" s="47">
        <f t="shared" si="0"/>
        <v>85</v>
      </c>
      <c r="F27" s="47">
        <f t="shared" si="1"/>
        <v>86</v>
      </c>
      <c r="G27" s="49">
        <f t="shared" si="2"/>
        <v>0.14851485148514851</v>
      </c>
    </row>
    <row r="28" spans="1:7" x14ac:dyDescent="0.25">
      <c r="A28" s="47">
        <v>27</v>
      </c>
      <c r="B28" s="47">
        <v>17</v>
      </c>
      <c r="C28" s="47">
        <v>15</v>
      </c>
      <c r="D28" s="47">
        <f t="shared" si="3"/>
        <v>0</v>
      </c>
      <c r="E28" s="47">
        <f t="shared" si="0"/>
        <v>84</v>
      </c>
      <c r="F28" s="47">
        <f t="shared" si="1"/>
        <v>86</v>
      </c>
      <c r="G28" s="49">
        <f t="shared" si="2"/>
        <v>0.14851485148514851</v>
      </c>
    </row>
    <row r="29" spans="1:7" x14ac:dyDescent="0.25">
      <c r="A29" s="47">
        <v>28</v>
      </c>
      <c r="B29" s="47">
        <v>18</v>
      </c>
      <c r="C29" s="47">
        <v>16</v>
      </c>
      <c r="D29" s="47">
        <f t="shared" si="3"/>
        <v>1</v>
      </c>
      <c r="E29" s="47">
        <f t="shared" si="0"/>
        <v>83</v>
      </c>
      <c r="F29" s="47">
        <f t="shared" si="1"/>
        <v>85</v>
      </c>
      <c r="G29" s="49">
        <f t="shared" si="2"/>
        <v>0.15841584158415842</v>
      </c>
    </row>
    <row r="30" spans="1:7" x14ac:dyDescent="0.25">
      <c r="A30" s="47">
        <v>29</v>
      </c>
      <c r="B30" s="47">
        <v>20</v>
      </c>
      <c r="C30" s="47">
        <v>19</v>
      </c>
      <c r="D30" s="47">
        <f t="shared" si="3"/>
        <v>3</v>
      </c>
      <c r="E30" s="47">
        <f t="shared" si="0"/>
        <v>81</v>
      </c>
      <c r="F30" s="47">
        <f t="shared" si="1"/>
        <v>82</v>
      </c>
      <c r="G30" s="49">
        <f t="shared" si="2"/>
        <v>0.18811881188118812</v>
      </c>
    </row>
    <row r="31" spans="1:7" x14ac:dyDescent="0.25">
      <c r="A31" s="47">
        <v>30</v>
      </c>
      <c r="B31" s="47">
        <v>21</v>
      </c>
      <c r="C31" s="47">
        <v>19</v>
      </c>
      <c r="D31" s="47">
        <f t="shared" si="3"/>
        <v>0</v>
      </c>
      <c r="E31" s="47">
        <f t="shared" si="0"/>
        <v>80</v>
      </c>
      <c r="F31" s="47">
        <f t="shared" si="1"/>
        <v>82</v>
      </c>
      <c r="G31" s="49">
        <f t="shared" si="2"/>
        <v>0.18811881188118812</v>
      </c>
    </row>
    <row r="32" spans="1:7" x14ac:dyDescent="0.25">
      <c r="A32" s="47">
        <v>31</v>
      </c>
      <c r="B32" s="47">
        <v>22</v>
      </c>
      <c r="C32" s="47">
        <v>21</v>
      </c>
      <c r="D32" s="47">
        <f t="shared" si="3"/>
        <v>2</v>
      </c>
      <c r="E32" s="47">
        <f t="shared" si="0"/>
        <v>79</v>
      </c>
      <c r="F32" s="47">
        <f t="shared" si="1"/>
        <v>80</v>
      </c>
      <c r="G32" s="49">
        <f t="shared" si="2"/>
        <v>0.20792079207920791</v>
      </c>
    </row>
    <row r="33" spans="1:7" x14ac:dyDescent="0.25">
      <c r="A33" s="47">
        <v>32</v>
      </c>
      <c r="B33" s="47">
        <v>25</v>
      </c>
      <c r="C33" s="47">
        <v>21</v>
      </c>
      <c r="D33" s="47">
        <f t="shared" si="3"/>
        <v>0</v>
      </c>
      <c r="E33" s="47">
        <f t="shared" si="0"/>
        <v>76</v>
      </c>
      <c r="F33" s="47">
        <f t="shared" si="1"/>
        <v>80</v>
      </c>
      <c r="G33" s="49">
        <f t="shared" si="2"/>
        <v>0.20792079207920791</v>
      </c>
    </row>
    <row r="34" spans="1:7" x14ac:dyDescent="0.25">
      <c r="A34" s="47">
        <v>33</v>
      </c>
      <c r="B34" s="47">
        <v>28</v>
      </c>
      <c r="C34" s="47">
        <v>22</v>
      </c>
      <c r="D34" s="47">
        <f t="shared" si="3"/>
        <v>1</v>
      </c>
      <c r="E34" s="47">
        <f t="shared" si="0"/>
        <v>73</v>
      </c>
      <c r="F34" s="47">
        <f t="shared" si="1"/>
        <v>79</v>
      </c>
      <c r="G34" s="49">
        <f t="shared" si="2"/>
        <v>0.21782178217821782</v>
      </c>
    </row>
    <row r="35" spans="1:7" x14ac:dyDescent="0.25">
      <c r="A35" s="47">
        <v>34</v>
      </c>
      <c r="B35" s="47">
        <v>29</v>
      </c>
      <c r="C35" s="47">
        <v>25</v>
      </c>
      <c r="D35" s="47">
        <f t="shared" si="3"/>
        <v>3</v>
      </c>
      <c r="E35" s="47">
        <f t="shared" si="0"/>
        <v>72</v>
      </c>
      <c r="F35" s="47">
        <f t="shared" si="1"/>
        <v>76</v>
      </c>
      <c r="G35" s="49">
        <f t="shared" si="2"/>
        <v>0.24752475247524752</v>
      </c>
    </row>
    <row r="36" spans="1:7" x14ac:dyDescent="0.25">
      <c r="A36" s="47">
        <v>35</v>
      </c>
      <c r="B36" s="47">
        <v>31</v>
      </c>
      <c r="C36" s="47">
        <v>25</v>
      </c>
      <c r="D36" s="47">
        <f t="shared" si="3"/>
        <v>0</v>
      </c>
      <c r="E36" s="47">
        <f t="shared" si="0"/>
        <v>70</v>
      </c>
      <c r="F36" s="47">
        <f t="shared" si="1"/>
        <v>76</v>
      </c>
      <c r="G36" s="49">
        <f t="shared" si="2"/>
        <v>0.24752475247524752</v>
      </c>
    </row>
    <row r="37" spans="1:7" x14ac:dyDescent="0.25">
      <c r="A37" s="47">
        <v>36</v>
      </c>
      <c r="B37" s="47">
        <v>32</v>
      </c>
      <c r="C37" s="47">
        <v>26</v>
      </c>
      <c r="D37" s="47">
        <f t="shared" si="3"/>
        <v>1</v>
      </c>
      <c r="E37" s="47">
        <f t="shared" si="0"/>
        <v>69</v>
      </c>
      <c r="F37" s="47">
        <f t="shared" si="1"/>
        <v>75</v>
      </c>
      <c r="G37" s="49">
        <f t="shared" si="2"/>
        <v>0.25742574257425743</v>
      </c>
    </row>
    <row r="38" spans="1:7" x14ac:dyDescent="0.25">
      <c r="A38" s="47">
        <v>37</v>
      </c>
      <c r="B38" s="47">
        <v>34</v>
      </c>
      <c r="C38" s="47">
        <v>28</v>
      </c>
      <c r="D38" s="47">
        <f t="shared" si="3"/>
        <v>2</v>
      </c>
      <c r="E38" s="47">
        <f t="shared" si="0"/>
        <v>67</v>
      </c>
      <c r="F38" s="47">
        <f t="shared" si="1"/>
        <v>73</v>
      </c>
      <c r="G38" s="49">
        <f t="shared" si="2"/>
        <v>0.27722772277227725</v>
      </c>
    </row>
    <row r="39" spans="1:7" x14ac:dyDescent="0.25">
      <c r="A39" s="47">
        <v>38</v>
      </c>
      <c r="B39" s="47">
        <v>36</v>
      </c>
      <c r="C39" s="47">
        <v>32</v>
      </c>
      <c r="D39" s="47">
        <f t="shared" si="3"/>
        <v>4</v>
      </c>
      <c r="E39" s="47">
        <f t="shared" si="0"/>
        <v>65</v>
      </c>
      <c r="F39" s="47">
        <f t="shared" si="1"/>
        <v>69</v>
      </c>
      <c r="G39" s="49">
        <f t="shared" si="2"/>
        <v>0.31683168316831684</v>
      </c>
    </row>
    <row r="40" spans="1:7" x14ac:dyDescent="0.25">
      <c r="A40" s="47">
        <v>39</v>
      </c>
      <c r="B40" s="47">
        <v>38</v>
      </c>
      <c r="C40" s="47">
        <v>34</v>
      </c>
      <c r="D40" s="47">
        <f t="shared" si="3"/>
        <v>2</v>
      </c>
      <c r="E40" s="47">
        <f t="shared" si="0"/>
        <v>63</v>
      </c>
      <c r="F40" s="47">
        <f t="shared" si="1"/>
        <v>67</v>
      </c>
      <c r="G40" s="49">
        <f t="shared" si="2"/>
        <v>0.33663366336633666</v>
      </c>
    </row>
    <row r="41" spans="1:7" x14ac:dyDescent="0.25">
      <c r="A41" s="47">
        <v>40</v>
      </c>
      <c r="B41" s="47">
        <v>47</v>
      </c>
      <c r="C41" s="47">
        <v>42</v>
      </c>
      <c r="D41" s="47">
        <f t="shared" si="3"/>
        <v>8</v>
      </c>
      <c r="E41" s="47">
        <f t="shared" si="0"/>
        <v>54</v>
      </c>
      <c r="F41" s="47">
        <f t="shared" si="1"/>
        <v>59</v>
      </c>
      <c r="G41" s="49">
        <f t="shared" si="2"/>
        <v>0.41584158415841582</v>
      </c>
    </row>
    <row r="42" spans="1:7" x14ac:dyDescent="0.25">
      <c r="A42" s="47">
        <v>41</v>
      </c>
      <c r="B42" s="47">
        <v>49</v>
      </c>
      <c r="C42" s="47">
        <v>43</v>
      </c>
      <c r="D42" s="47">
        <f t="shared" si="3"/>
        <v>1</v>
      </c>
      <c r="E42" s="47">
        <f t="shared" si="0"/>
        <v>52</v>
      </c>
      <c r="F42" s="47">
        <f t="shared" si="1"/>
        <v>58</v>
      </c>
      <c r="G42" s="49">
        <f t="shared" si="2"/>
        <v>0.42574257425742573</v>
      </c>
    </row>
    <row r="43" spans="1:7" x14ac:dyDescent="0.25">
      <c r="A43" s="47">
        <v>42</v>
      </c>
      <c r="B43" s="47">
        <v>50</v>
      </c>
      <c r="C43" s="47">
        <v>44</v>
      </c>
      <c r="D43" s="47">
        <f t="shared" si="3"/>
        <v>1</v>
      </c>
      <c r="E43" s="47">
        <f t="shared" si="0"/>
        <v>51</v>
      </c>
      <c r="F43" s="47">
        <f t="shared" si="1"/>
        <v>57</v>
      </c>
      <c r="G43" s="49">
        <f t="shared" si="2"/>
        <v>0.43564356435643564</v>
      </c>
    </row>
    <row r="44" spans="1:7" x14ac:dyDescent="0.25">
      <c r="A44" s="47">
        <v>43</v>
      </c>
      <c r="B44" s="47">
        <v>56</v>
      </c>
      <c r="C44" s="47">
        <v>53</v>
      </c>
      <c r="D44" s="47">
        <f t="shared" si="3"/>
        <v>9</v>
      </c>
      <c r="E44" s="47">
        <f t="shared" si="0"/>
        <v>45</v>
      </c>
      <c r="F44" s="47">
        <f t="shared" si="1"/>
        <v>48</v>
      </c>
      <c r="G44" s="49">
        <f t="shared" si="2"/>
        <v>0.52475247524752477</v>
      </c>
    </row>
    <row r="45" spans="1:7" x14ac:dyDescent="0.25">
      <c r="A45" s="47">
        <v>44</v>
      </c>
      <c r="B45" s="47">
        <v>57</v>
      </c>
      <c r="C45" s="47">
        <v>53</v>
      </c>
      <c r="D45" s="47">
        <f t="shared" si="3"/>
        <v>0</v>
      </c>
      <c r="E45" s="47">
        <f t="shared" si="0"/>
        <v>44</v>
      </c>
      <c r="F45" s="47">
        <f t="shared" si="1"/>
        <v>48</v>
      </c>
      <c r="G45" s="49">
        <f t="shared" si="2"/>
        <v>0.52475247524752477</v>
      </c>
    </row>
    <row r="46" spans="1:7" x14ac:dyDescent="0.25">
      <c r="A46" s="47">
        <v>45</v>
      </c>
      <c r="B46" s="47">
        <v>58</v>
      </c>
      <c r="C46" s="47">
        <v>54</v>
      </c>
      <c r="D46" s="47">
        <f t="shared" si="3"/>
        <v>1</v>
      </c>
      <c r="E46" s="47">
        <f t="shared" si="0"/>
        <v>43</v>
      </c>
      <c r="F46" s="47">
        <f t="shared" si="1"/>
        <v>47</v>
      </c>
      <c r="G46" s="49">
        <f t="shared" si="2"/>
        <v>0.53465346534653468</v>
      </c>
    </row>
    <row r="47" spans="1:7" x14ac:dyDescent="0.25">
      <c r="A47" s="47">
        <v>46</v>
      </c>
      <c r="B47" s="47">
        <v>61</v>
      </c>
      <c r="C47" s="47">
        <v>55</v>
      </c>
      <c r="D47" s="47">
        <f t="shared" si="3"/>
        <v>1</v>
      </c>
      <c r="E47" s="47">
        <f t="shared" si="0"/>
        <v>40</v>
      </c>
      <c r="F47" s="47">
        <f t="shared" si="1"/>
        <v>46</v>
      </c>
      <c r="G47" s="49">
        <f t="shared" si="2"/>
        <v>0.54455445544554459</v>
      </c>
    </row>
    <row r="48" spans="1:7" x14ac:dyDescent="0.25">
      <c r="A48" s="47">
        <v>47</v>
      </c>
      <c r="B48" s="47">
        <v>63</v>
      </c>
      <c r="C48" s="47">
        <v>55</v>
      </c>
      <c r="D48" s="47">
        <f t="shared" si="3"/>
        <v>0</v>
      </c>
      <c r="E48" s="47">
        <f t="shared" si="0"/>
        <v>38</v>
      </c>
      <c r="F48" s="47">
        <f t="shared" si="1"/>
        <v>46</v>
      </c>
      <c r="G48" s="49">
        <f t="shared" si="2"/>
        <v>0.54455445544554459</v>
      </c>
    </row>
    <row r="49" spans="1:7" x14ac:dyDescent="0.25">
      <c r="A49" s="47">
        <v>48</v>
      </c>
      <c r="B49" s="47">
        <v>63</v>
      </c>
      <c r="C49" s="47">
        <v>55</v>
      </c>
      <c r="D49" s="47">
        <f t="shared" si="3"/>
        <v>0</v>
      </c>
      <c r="E49" s="47">
        <f t="shared" si="0"/>
        <v>38</v>
      </c>
      <c r="F49" s="47">
        <f t="shared" si="1"/>
        <v>46</v>
      </c>
      <c r="G49" s="49">
        <f t="shared" si="2"/>
        <v>0.54455445544554459</v>
      </c>
    </row>
    <row r="50" spans="1:7" x14ac:dyDescent="0.25">
      <c r="A50" s="47">
        <v>49</v>
      </c>
      <c r="B50" s="47">
        <v>64</v>
      </c>
      <c r="C50" s="47">
        <v>55</v>
      </c>
      <c r="D50" s="47">
        <f t="shared" si="3"/>
        <v>0</v>
      </c>
      <c r="E50" s="47">
        <f t="shared" si="0"/>
        <v>37</v>
      </c>
      <c r="F50" s="47">
        <f t="shared" si="1"/>
        <v>46</v>
      </c>
      <c r="G50" s="49">
        <f t="shared" si="2"/>
        <v>0.54455445544554459</v>
      </c>
    </row>
    <row r="51" spans="1:7" x14ac:dyDescent="0.25">
      <c r="A51" s="47">
        <v>50</v>
      </c>
      <c r="B51" s="47">
        <v>64</v>
      </c>
      <c r="C51" s="47">
        <v>55</v>
      </c>
      <c r="D51" s="47">
        <f t="shared" si="3"/>
        <v>0</v>
      </c>
      <c r="E51" s="47">
        <f t="shared" si="0"/>
        <v>37</v>
      </c>
      <c r="F51" s="47">
        <f t="shared" si="1"/>
        <v>46</v>
      </c>
      <c r="G51" s="49">
        <f t="shared" si="2"/>
        <v>0.54455445544554459</v>
      </c>
    </row>
    <row r="52" spans="1:7" x14ac:dyDescent="0.25">
      <c r="A52" s="47">
        <v>51</v>
      </c>
      <c r="B52" s="47">
        <v>64</v>
      </c>
      <c r="C52" s="47">
        <v>56</v>
      </c>
      <c r="D52" s="47">
        <f t="shared" si="3"/>
        <v>1</v>
      </c>
      <c r="E52" s="47">
        <f t="shared" si="0"/>
        <v>37</v>
      </c>
      <c r="F52" s="47">
        <f t="shared" si="1"/>
        <v>45</v>
      </c>
      <c r="G52" s="49">
        <f t="shared" si="2"/>
        <v>0.5544554455445545</v>
      </c>
    </row>
    <row r="53" spans="1:7" x14ac:dyDescent="0.25">
      <c r="A53" s="47">
        <v>52</v>
      </c>
      <c r="B53" s="47">
        <v>64</v>
      </c>
      <c r="C53" s="47">
        <v>56</v>
      </c>
      <c r="D53" s="47">
        <f t="shared" si="3"/>
        <v>0</v>
      </c>
      <c r="E53" s="47">
        <f t="shared" si="0"/>
        <v>37</v>
      </c>
      <c r="F53" s="47">
        <f t="shared" si="1"/>
        <v>45</v>
      </c>
      <c r="G53" s="49">
        <f t="shared" si="2"/>
        <v>0.5544554455445545</v>
      </c>
    </row>
    <row r="54" spans="1:7" x14ac:dyDescent="0.25">
      <c r="A54" s="47">
        <v>53</v>
      </c>
      <c r="B54" s="47">
        <v>64</v>
      </c>
      <c r="C54" s="47">
        <v>56</v>
      </c>
      <c r="D54" s="47">
        <f t="shared" si="3"/>
        <v>0</v>
      </c>
      <c r="E54" s="47">
        <f t="shared" si="0"/>
        <v>37</v>
      </c>
      <c r="F54" s="47">
        <f t="shared" si="1"/>
        <v>45</v>
      </c>
      <c r="G54" s="49">
        <f t="shared" si="2"/>
        <v>0.5544554455445545</v>
      </c>
    </row>
    <row r="55" spans="1:7" x14ac:dyDescent="0.25">
      <c r="A55" s="47">
        <v>54</v>
      </c>
      <c r="B55" s="47">
        <v>64</v>
      </c>
      <c r="C55" s="47">
        <v>56</v>
      </c>
      <c r="D55" s="47">
        <f t="shared" si="3"/>
        <v>0</v>
      </c>
      <c r="E55" s="47">
        <f t="shared" si="0"/>
        <v>37</v>
      </c>
      <c r="F55" s="47">
        <f t="shared" si="1"/>
        <v>45</v>
      </c>
      <c r="G55" s="49">
        <f t="shared" si="2"/>
        <v>0.5544554455445545</v>
      </c>
    </row>
    <row r="56" spans="1:7" x14ac:dyDescent="0.25">
      <c r="A56" s="47">
        <v>55</v>
      </c>
      <c r="B56" s="47">
        <v>64</v>
      </c>
      <c r="C56" s="47">
        <v>56</v>
      </c>
      <c r="D56" s="47">
        <f t="shared" si="3"/>
        <v>0</v>
      </c>
      <c r="E56" s="47">
        <f t="shared" si="0"/>
        <v>37</v>
      </c>
      <c r="F56" s="47">
        <f t="shared" si="1"/>
        <v>45</v>
      </c>
      <c r="G56" s="49">
        <f t="shared" si="2"/>
        <v>0.5544554455445545</v>
      </c>
    </row>
    <row r="57" spans="1:7" x14ac:dyDescent="0.25">
      <c r="A57" s="47">
        <v>56</v>
      </c>
      <c r="B57" s="47">
        <v>64</v>
      </c>
      <c r="C57" s="47">
        <v>56</v>
      </c>
      <c r="D57" s="47">
        <f t="shared" si="3"/>
        <v>0</v>
      </c>
      <c r="E57" s="47">
        <f t="shared" si="0"/>
        <v>37</v>
      </c>
      <c r="F57" s="47">
        <f t="shared" si="1"/>
        <v>45</v>
      </c>
      <c r="G57" s="49">
        <f t="shared" si="2"/>
        <v>0.5544554455445545</v>
      </c>
    </row>
    <row r="58" spans="1:7" x14ac:dyDescent="0.25">
      <c r="A58" s="47">
        <v>57</v>
      </c>
      <c r="B58" s="47">
        <v>64</v>
      </c>
      <c r="C58" s="47">
        <v>57</v>
      </c>
      <c r="D58" s="47">
        <f t="shared" si="3"/>
        <v>1</v>
      </c>
      <c r="E58" s="47">
        <f t="shared" si="0"/>
        <v>37</v>
      </c>
      <c r="F58" s="47">
        <f t="shared" si="1"/>
        <v>44</v>
      </c>
      <c r="G58" s="49">
        <f t="shared" si="2"/>
        <v>0.5643564356435643</v>
      </c>
    </row>
    <row r="59" spans="1:7" x14ac:dyDescent="0.25">
      <c r="A59" s="47">
        <v>58</v>
      </c>
      <c r="B59" s="47">
        <v>64</v>
      </c>
      <c r="C59" s="47">
        <v>57</v>
      </c>
      <c r="D59" s="47">
        <f t="shared" si="3"/>
        <v>0</v>
      </c>
      <c r="E59" s="47">
        <f t="shared" si="0"/>
        <v>37</v>
      </c>
      <c r="F59" s="47">
        <f t="shared" si="1"/>
        <v>44</v>
      </c>
      <c r="G59" s="49">
        <f t="shared" si="2"/>
        <v>0.5643564356435643</v>
      </c>
    </row>
    <row r="60" spans="1:7" x14ac:dyDescent="0.25">
      <c r="A60" s="47">
        <v>59</v>
      </c>
      <c r="B60" s="47">
        <v>66</v>
      </c>
      <c r="C60" s="47">
        <v>57</v>
      </c>
      <c r="D60" s="47">
        <f t="shared" si="3"/>
        <v>0</v>
      </c>
      <c r="E60" s="47">
        <f t="shared" si="0"/>
        <v>35</v>
      </c>
      <c r="F60" s="47">
        <f t="shared" si="1"/>
        <v>44</v>
      </c>
      <c r="G60" s="49">
        <f t="shared" si="2"/>
        <v>0.5643564356435643</v>
      </c>
    </row>
    <row r="61" spans="1:7" x14ac:dyDescent="0.25">
      <c r="A61" s="47">
        <v>60</v>
      </c>
      <c r="B61" s="47">
        <v>70</v>
      </c>
      <c r="C61" s="47">
        <v>59</v>
      </c>
      <c r="D61" s="47">
        <f t="shared" si="3"/>
        <v>2</v>
      </c>
      <c r="E61" s="47">
        <f t="shared" si="0"/>
        <v>31</v>
      </c>
      <c r="F61" s="47">
        <f t="shared" si="1"/>
        <v>42</v>
      </c>
      <c r="G61" s="49">
        <f t="shared" si="2"/>
        <v>0.58415841584158412</v>
      </c>
    </row>
    <row r="62" spans="1:7" x14ac:dyDescent="0.25">
      <c r="A62" s="47">
        <v>61</v>
      </c>
      <c r="B62" s="47">
        <v>72</v>
      </c>
      <c r="C62" s="47">
        <v>61</v>
      </c>
      <c r="D62" s="47">
        <f t="shared" si="3"/>
        <v>2</v>
      </c>
      <c r="E62" s="47">
        <f t="shared" si="0"/>
        <v>29</v>
      </c>
      <c r="F62" s="47">
        <f t="shared" si="1"/>
        <v>40</v>
      </c>
      <c r="G62" s="49">
        <f t="shared" si="2"/>
        <v>0.60396039603960394</v>
      </c>
    </row>
    <row r="63" spans="1:7" x14ac:dyDescent="0.25">
      <c r="A63" s="47">
        <v>62</v>
      </c>
      <c r="B63" s="47">
        <v>74</v>
      </c>
      <c r="C63" s="47">
        <v>64</v>
      </c>
      <c r="D63" s="47">
        <f t="shared" si="3"/>
        <v>3</v>
      </c>
      <c r="E63" s="47">
        <f t="shared" si="0"/>
        <v>27</v>
      </c>
      <c r="F63" s="47">
        <f t="shared" si="1"/>
        <v>37</v>
      </c>
      <c r="G63" s="49">
        <f t="shared" si="2"/>
        <v>0.63366336633663367</v>
      </c>
    </row>
    <row r="64" spans="1:7" x14ac:dyDescent="0.25">
      <c r="A64" s="47">
        <v>63</v>
      </c>
      <c r="B64" s="47">
        <v>77</v>
      </c>
      <c r="C64" s="47">
        <v>70</v>
      </c>
      <c r="D64" s="47">
        <f t="shared" si="3"/>
        <v>6</v>
      </c>
      <c r="E64" s="47">
        <f t="shared" si="0"/>
        <v>24</v>
      </c>
      <c r="F64" s="47">
        <f t="shared" si="1"/>
        <v>31</v>
      </c>
      <c r="G64" s="49">
        <f t="shared" si="2"/>
        <v>0.69306930693069302</v>
      </c>
    </row>
    <row r="65" spans="1:7" x14ac:dyDescent="0.25">
      <c r="A65" s="47">
        <v>64</v>
      </c>
      <c r="B65" s="47">
        <v>79</v>
      </c>
      <c r="C65" s="47">
        <v>71</v>
      </c>
      <c r="D65" s="47">
        <f t="shared" si="3"/>
        <v>1</v>
      </c>
      <c r="E65" s="47">
        <f t="shared" si="0"/>
        <v>22</v>
      </c>
      <c r="F65" s="47">
        <f t="shared" si="1"/>
        <v>30</v>
      </c>
      <c r="G65" s="49">
        <f t="shared" si="2"/>
        <v>0.70297029702970293</v>
      </c>
    </row>
    <row r="66" spans="1:7" x14ac:dyDescent="0.25">
      <c r="A66" s="47">
        <v>65</v>
      </c>
      <c r="B66" s="47">
        <v>81</v>
      </c>
      <c r="C66" s="47">
        <v>73</v>
      </c>
      <c r="D66" s="47">
        <f t="shared" si="3"/>
        <v>2</v>
      </c>
      <c r="E66" s="47">
        <f t="shared" si="0"/>
        <v>20</v>
      </c>
      <c r="F66" s="47">
        <f t="shared" si="1"/>
        <v>28</v>
      </c>
      <c r="G66" s="49">
        <f t="shared" si="2"/>
        <v>0.72277227722772275</v>
      </c>
    </row>
    <row r="67" spans="1:7" x14ac:dyDescent="0.25">
      <c r="A67" s="47">
        <v>66</v>
      </c>
      <c r="B67" s="47">
        <v>82</v>
      </c>
      <c r="C67" s="47">
        <v>74</v>
      </c>
      <c r="D67" s="47">
        <f t="shared" si="3"/>
        <v>1</v>
      </c>
      <c r="E67" s="47">
        <f t="shared" ref="E67:E85" si="4">101-B67</f>
        <v>19</v>
      </c>
      <c r="F67" s="47">
        <f t="shared" ref="F67:F86" si="5">101-C67</f>
        <v>27</v>
      </c>
      <c r="G67" s="49">
        <f t="shared" ref="G67:G86" si="6">+C67/101</f>
        <v>0.73267326732673266</v>
      </c>
    </row>
    <row r="68" spans="1:7" x14ac:dyDescent="0.25">
      <c r="A68" s="47">
        <v>67</v>
      </c>
      <c r="B68" s="47">
        <v>85</v>
      </c>
      <c r="C68" s="47">
        <v>76</v>
      </c>
      <c r="D68" s="47">
        <f t="shared" ref="D68:D86" si="7">+C68-C67</f>
        <v>2</v>
      </c>
      <c r="E68" s="47">
        <f t="shared" si="4"/>
        <v>16</v>
      </c>
      <c r="F68" s="47">
        <f t="shared" si="5"/>
        <v>25</v>
      </c>
      <c r="G68" s="49">
        <f t="shared" si="6"/>
        <v>0.75247524752475248</v>
      </c>
    </row>
    <row r="69" spans="1:7" x14ac:dyDescent="0.25">
      <c r="A69" s="47">
        <v>68</v>
      </c>
      <c r="B69" s="47">
        <v>89</v>
      </c>
      <c r="C69" s="47">
        <v>78</v>
      </c>
      <c r="D69" s="47">
        <f t="shared" si="7"/>
        <v>2</v>
      </c>
      <c r="E69" s="47">
        <f t="shared" si="4"/>
        <v>12</v>
      </c>
      <c r="F69" s="47">
        <f t="shared" si="5"/>
        <v>23</v>
      </c>
      <c r="G69" s="49">
        <f t="shared" si="6"/>
        <v>0.7722772277227723</v>
      </c>
    </row>
    <row r="70" spans="1:7" x14ac:dyDescent="0.25">
      <c r="A70" s="47">
        <v>69</v>
      </c>
      <c r="B70" s="47">
        <v>91</v>
      </c>
      <c r="C70" s="47">
        <v>79</v>
      </c>
      <c r="D70" s="47">
        <f t="shared" si="7"/>
        <v>1</v>
      </c>
      <c r="E70" s="47">
        <f t="shared" si="4"/>
        <v>10</v>
      </c>
      <c r="F70" s="47">
        <f t="shared" si="5"/>
        <v>22</v>
      </c>
      <c r="G70" s="49">
        <f t="shared" si="6"/>
        <v>0.78217821782178221</v>
      </c>
    </row>
    <row r="71" spans="1:7" x14ac:dyDescent="0.25">
      <c r="A71" s="47">
        <v>70</v>
      </c>
      <c r="B71" s="47">
        <v>94</v>
      </c>
      <c r="C71" s="47">
        <v>79</v>
      </c>
      <c r="D71" s="47">
        <f t="shared" si="7"/>
        <v>0</v>
      </c>
      <c r="E71" s="47">
        <f t="shared" si="4"/>
        <v>7</v>
      </c>
      <c r="F71" s="47">
        <f t="shared" si="5"/>
        <v>22</v>
      </c>
      <c r="G71" s="49">
        <f t="shared" si="6"/>
        <v>0.78217821782178221</v>
      </c>
    </row>
    <row r="72" spans="1:7" x14ac:dyDescent="0.25">
      <c r="A72" s="47">
        <v>71</v>
      </c>
      <c r="B72" s="47">
        <v>96</v>
      </c>
      <c r="C72" s="47">
        <v>79</v>
      </c>
      <c r="D72" s="47">
        <f t="shared" si="7"/>
        <v>0</v>
      </c>
      <c r="E72" s="47">
        <f t="shared" si="4"/>
        <v>5</v>
      </c>
      <c r="F72" s="47">
        <f t="shared" si="5"/>
        <v>22</v>
      </c>
      <c r="G72" s="49">
        <f t="shared" si="6"/>
        <v>0.78217821782178221</v>
      </c>
    </row>
    <row r="73" spans="1:7" x14ac:dyDescent="0.25">
      <c r="A73" s="47">
        <v>72</v>
      </c>
      <c r="B73" s="47">
        <v>96</v>
      </c>
      <c r="C73" s="47">
        <v>79</v>
      </c>
      <c r="D73" s="47">
        <f t="shared" si="7"/>
        <v>0</v>
      </c>
      <c r="E73" s="47">
        <f t="shared" si="4"/>
        <v>5</v>
      </c>
      <c r="F73" s="47">
        <f t="shared" si="5"/>
        <v>22</v>
      </c>
      <c r="G73" s="49">
        <f t="shared" si="6"/>
        <v>0.78217821782178221</v>
      </c>
    </row>
    <row r="74" spans="1:7" x14ac:dyDescent="0.25">
      <c r="A74" s="47">
        <v>73</v>
      </c>
      <c r="B74" s="47">
        <v>97</v>
      </c>
      <c r="C74" s="47">
        <v>80</v>
      </c>
      <c r="D74" s="47">
        <f t="shared" si="7"/>
        <v>1</v>
      </c>
      <c r="E74" s="47">
        <f t="shared" si="4"/>
        <v>4</v>
      </c>
      <c r="F74" s="47">
        <f t="shared" si="5"/>
        <v>21</v>
      </c>
      <c r="G74" s="49">
        <f t="shared" si="6"/>
        <v>0.79207920792079212</v>
      </c>
    </row>
    <row r="75" spans="1:7" x14ac:dyDescent="0.25">
      <c r="A75" s="47">
        <v>74</v>
      </c>
      <c r="B75" s="47">
        <v>97</v>
      </c>
      <c r="C75" s="47">
        <v>82</v>
      </c>
      <c r="D75" s="47">
        <f t="shared" si="7"/>
        <v>2</v>
      </c>
      <c r="E75" s="47">
        <f t="shared" si="4"/>
        <v>4</v>
      </c>
      <c r="F75" s="47">
        <f t="shared" si="5"/>
        <v>19</v>
      </c>
      <c r="G75" s="49">
        <f t="shared" si="6"/>
        <v>0.81188118811881194</v>
      </c>
    </row>
    <row r="76" spans="1:7" x14ac:dyDescent="0.25">
      <c r="A76" s="47">
        <v>75</v>
      </c>
      <c r="B76" s="47">
        <v>97</v>
      </c>
      <c r="C76" s="47">
        <v>83</v>
      </c>
      <c r="D76" s="47">
        <f t="shared" si="7"/>
        <v>1</v>
      </c>
      <c r="E76" s="47">
        <f t="shared" si="4"/>
        <v>4</v>
      </c>
      <c r="F76" s="47">
        <f t="shared" si="5"/>
        <v>18</v>
      </c>
      <c r="G76" s="49">
        <f t="shared" si="6"/>
        <v>0.82178217821782173</v>
      </c>
    </row>
    <row r="77" spans="1:7" x14ac:dyDescent="0.25">
      <c r="A77" s="47">
        <v>76</v>
      </c>
      <c r="B77" s="47">
        <v>100</v>
      </c>
      <c r="C77" s="47">
        <v>85</v>
      </c>
      <c r="D77" s="47">
        <f t="shared" si="7"/>
        <v>2</v>
      </c>
      <c r="E77" s="47">
        <f t="shared" si="4"/>
        <v>1</v>
      </c>
      <c r="F77" s="47">
        <f t="shared" si="5"/>
        <v>16</v>
      </c>
      <c r="G77" s="49">
        <f t="shared" si="6"/>
        <v>0.84158415841584155</v>
      </c>
    </row>
    <row r="78" spans="1:7" x14ac:dyDescent="0.25">
      <c r="A78" s="47">
        <v>77</v>
      </c>
      <c r="B78" s="47">
        <v>100</v>
      </c>
      <c r="C78" s="47">
        <v>88</v>
      </c>
      <c r="D78" s="47">
        <f t="shared" si="7"/>
        <v>3</v>
      </c>
      <c r="E78" s="47">
        <f t="shared" si="4"/>
        <v>1</v>
      </c>
      <c r="F78" s="47">
        <f t="shared" si="5"/>
        <v>13</v>
      </c>
      <c r="G78" s="49">
        <f t="shared" si="6"/>
        <v>0.87128712871287128</v>
      </c>
    </row>
    <row r="79" spans="1:7" x14ac:dyDescent="0.25">
      <c r="A79" s="47">
        <v>78</v>
      </c>
      <c r="B79" s="47">
        <v>100</v>
      </c>
      <c r="C79" s="47">
        <v>90</v>
      </c>
      <c r="D79" s="47">
        <f t="shared" si="7"/>
        <v>2</v>
      </c>
      <c r="E79" s="47">
        <f t="shared" si="4"/>
        <v>1</v>
      </c>
      <c r="F79" s="47">
        <f t="shared" si="5"/>
        <v>11</v>
      </c>
      <c r="G79" s="49">
        <f t="shared" si="6"/>
        <v>0.8910891089108911</v>
      </c>
    </row>
    <row r="80" spans="1:7" x14ac:dyDescent="0.25">
      <c r="A80" s="47">
        <v>79</v>
      </c>
      <c r="B80" s="47">
        <v>100</v>
      </c>
      <c r="C80" s="47">
        <v>92</v>
      </c>
      <c r="D80" s="47">
        <f t="shared" si="7"/>
        <v>2</v>
      </c>
      <c r="E80" s="47">
        <f t="shared" si="4"/>
        <v>1</v>
      </c>
      <c r="F80" s="47">
        <f t="shared" si="5"/>
        <v>9</v>
      </c>
      <c r="G80" s="49">
        <f t="shared" si="6"/>
        <v>0.91089108910891092</v>
      </c>
    </row>
    <row r="81" spans="1:7" x14ac:dyDescent="0.25">
      <c r="A81" s="47">
        <v>80</v>
      </c>
      <c r="B81" s="47">
        <v>100</v>
      </c>
      <c r="C81" s="47">
        <v>92</v>
      </c>
      <c r="D81" s="47">
        <f t="shared" si="7"/>
        <v>0</v>
      </c>
      <c r="E81" s="47">
        <f t="shared" si="4"/>
        <v>1</v>
      </c>
      <c r="F81" s="47">
        <f t="shared" si="5"/>
        <v>9</v>
      </c>
      <c r="G81" s="49">
        <f t="shared" si="6"/>
        <v>0.91089108910891092</v>
      </c>
    </row>
    <row r="82" spans="1:7" x14ac:dyDescent="0.25">
      <c r="A82" s="47">
        <v>81</v>
      </c>
      <c r="B82" s="47">
        <v>100</v>
      </c>
      <c r="C82" s="47">
        <v>93</v>
      </c>
      <c r="D82" s="47">
        <f t="shared" si="7"/>
        <v>1</v>
      </c>
      <c r="E82" s="47">
        <f t="shared" si="4"/>
        <v>1</v>
      </c>
      <c r="F82" s="47">
        <f t="shared" si="5"/>
        <v>8</v>
      </c>
      <c r="G82" s="49">
        <f t="shared" si="6"/>
        <v>0.92079207920792083</v>
      </c>
    </row>
    <row r="83" spans="1:7" x14ac:dyDescent="0.25">
      <c r="A83" s="47">
        <v>82</v>
      </c>
      <c r="B83" s="47">
        <v>100</v>
      </c>
      <c r="C83" s="47">
        <v>94</v>
      </c>
      <c r="D83" s="47">
        <f t="shared" si="7"/>
        <v>1</v>
      </c>
      <c r="E83" s="47">
        <f t="shared" si="4"/>
        <v>1</v>
      </c>
      <c r="F83" s="47">
        <f t="shared" si="5"/>
        <v>7</v>
      </c>
      <c r="G83" s="49">
        <f t="shared" si="6"/>
        <v>0.93069306930693074</v>
      </c>
    </row>
    <row r="84" spans="1:7" x14ac:dyDescent="0.25">
      <c r="A84" s="47">
        <v>83</v>
      </c>
      <c r="B84" s="47">
        <v>100</v>
      </c>
      <c r="C84" s="47">
        <v>96</v>
      </c>
      <c r="D84" s="47">
        <f t="shared" si="7"/>
        <v>2</v>
      </c>
      <c r="E84" s="47">
        <f t="shared" si="4"/>
        <v>1</v>
      </c>
      <c r="F84" s="47">
        <f t="shared" si="5"/>
        <v>5</v>
      </c>
      <c r="G84" s="49">
        <f t="shared" si="6"/>
        <v>0.95049504950495045</v>
      </c>
    </row>
    <row r="85" spans="1:7" x14ac:dyDescent="0.25">
      <c r="A85" s="47">
        <v>84</v>
      </c>
      <c r="B85" s="47">
        <v>100</v>
      </c>
      <c r="C85" s="47">
        <v>97</v>
      </c>
      <c r="D85" s="47">
        <f t="shared" si="7"/>
        <v>1</v>
      </c>
      <c r="E85" s="47">
        <f t="shared" si="4"/>
        <v>1</v>
      </c>
      <c r="F85" s="47">
        <f t="shared" si="5"/>
        <v>4</v>
      </c>
      <c r="G85" s="49">
        <f t="shared" si="6"/>
        <v>0.96039603960396036</v>
      </c>
    </row>
    <row r="86" spans="1:7" x14ac:dyDescent="0.25">
      <c r="A86" s="47">
        <v>85</v>
      </c>
      <c r="B86" s="47">
        <v>102</v>
      </c>
      <c r="C86" s="47">
        <v>101</v>
      </c>
      <c r="D86" s="47">
        <f t="shared" si="7"/>
        <v>4</v>
      </c>
      <c r="E86" s="47">
        <v>0</v>
      </c>
      <c r="F86" s="47">
        <f t="shared" si="5"/>
        <v>0</v>
      </c>
      <c r="G86" s="49">
        <f t="shared" si="6"/>
        <v>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AD63E592732434A9DB7D0F02E379440" ma:contentTypeVersion="17" ma:contentTypeDescription="Crear nuevo documento." ma:contentTypeScope="" ma:versionID="6db4429236508c3041dc500787e9dbb4">
  <xsd:schema xmlns:xsd="http://www.w3.org/2001/XMLSchema" xmlns:xs="http://www.w3.org/2001/XMLSchema" xmlns:p="http://schemas.microsoft.com/office/2006/metadata/properties" xmlns:ns2="4ecf285e-078e-4100-b41e-d1323cf54407" xmlns:ns3="80e8a80f-cbbe-4f55-b0ac-7c33d8803f2f" targetNamespace="http://schemas.microsoft.com/office/2006/metadata/properties" ma:root="true" ma:fieldsID="11aa14a588ee35cec53c3708ce30e63e" ns2:_="" ns3:_="">
    <xsd:import namespace="4ecf285e-078e-4100-b41e-d1323cf54407"/>
    <xsd:import namespace="80e8a80f-cbbe-4f55-b0ac-7c33d8803f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cf285e-078e-4100-b41e-d1323cf544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c60ce6ac-67d1-42ce-9507-033cdd0fb7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e8a80f-cbbe-4f55-b0ac-7c33d8803f2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ed0f98f0-445b-4df6-b639-81275ce7d268}" ma:internalName="TaxCatchAll" ma:showField="CatchAllData" ma:web="80e8a80f-cbbe-4f55-b0ac-7c33d8803f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ecf285e-078e-4100-b41e-d1323cf54407">
      <Terms xmlns="http://schemas.microsoft.com/office/infopath/2007/PartnerControls"/>
    </lcf76f155ced4ddcb4097134ff3c332f>
    <TaxCatchAll xmlns="80e8a80f-cbbe-4f55-b0ac-7c33d8803f2f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9BA721E4-4D1D-4E5A-B5C9-47F37977FFB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ecf285e-078e-4100-b41e-d1323cf54407"/>
    <ds:schemaRef ds:uri="80e8a80f-cbbe-4f55-b0ac-7c33d8803f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0D55E59-3557-4725-8C9B-5512D24CC02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798BCA0-B10D-4EC2-B55D-FE017E3B2007}">
  <ds:schemaRefs>
    <ds:schemaRef ds:uri="http://www.w3.org/XML/1998/namespace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4ecf285e-078e-4100-b41e-d1323cf54407"/>
    <ds:schemaRef ds:uri="http://purl.org/dc/dcmitype/"/>
    <ds:schemaRef ds:uri="80e8a80f-cbbe-4f55-b0ac-7c33d8803f2f"/>
    <ds:schemaRef ds:uri="http://purl.org/dc/terms/"/>
  </ds:schemaRefs>
</ds:datastoreItem>
</file>

<file path=customXml/itemProps4.xml><?xml version="1.0" encoding="utf-8"?>
<ds:datastoreItem xmlns:ds="http://schemas.openxmlformats.org/officeDocument/2006/customXml" ds:itemID="{C4FF92F7-698D-4DE8-B064-5447BC794C16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9744600e-3e04-492e-baa1-25ec245c6f10}" enabled="0" method="" siteId="{9744600e-3e04-492e-baa1-25ec245c6f1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>TM02887601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GANTT DIAGRAM</vt:lpstr>
      <vt:lpstr>Sheet1</vt:lpstr>
      <vt:lpstr>Sheet2</vt:lpstr>
      <vt:lpstr>Burndown</vt:lpstr>
      <vt:lpstr>period_selected</vt:lpstr>
      <vt:lpstr>'GANTT DIAGRAM'!Print_Titles</vt:lpstr>
      <vt:lpstr>TitleRegion..BO60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2021-12-27T22:07:09Z</dcterms:created>
  <dcterms:modified xsi:type="dcterms:W3CDTF">2025-12-07T03:41:58Z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0x0101004AD63E592732434A9DB7D0F02E379440</vt:lpwstr>
  </property>
  <property fmtid="{D5CDD505-2E9C-101B-9397-08002B2CF9AE}" pid="3" name="MediaServiceImageTags">
    <vt:lpwstr/>
  </property>
</Properties>
</file>