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autoCompressPictures="0"/>
  <xr:revisionPtr revIDLastSave="630" documentId="8_{993B7D5C-E522-4585-AD05-065250C42B00}" xr6:coauthVersionLast="47" xr6:coauthVersionMax="47" xr10:uidLastSave="{18EECB71-EB92-410F-BB4B-EB47E2BE58ED}"/>
  <bookViews>
    <workbookView xWindow="-120" yWindow="-120" windowWidth="20730" windowHeight="11040" xr2:uid="{00000000-000D-0000-FFFF-FFFF00000000}"/>
  </bookViews>
  <sheets>
    <sheet name="GANTT DIAGRAM" sheetId="1" r:id="rId1"/>
  </sheets>
  <definedNames>
    <definedName name="ActualBeyond">PeriodInActual*('GANTT DIAGRAM'!$H1&gt;0)</definedName>
    <definedName name="PercentComplete">PercentCompleteBeyond*PeriodInPlan</definedName>
    <definedName name="PercentCompleteBeyond">('GANTT DIAGRAM'!A$4=MEDIAN('GANTT DIAGRAM'!A$4,'GANTT DIAGRAM'!$H1,'GANTT DIAGRAM'!$H1+'GANTT DIAGRAM'!$I1)*('GANTT DIAGRAM'!$H1&gt;0))*(('GANTT DIAGRAM'!A$4&lt;(INT('GANTT DIAGRAM'!$H1+'GANTT DIAGRAM'!$I1*'GANTT DIAGRAM'!$J1)))+('GANTT DIAGRAM'!A$4='GANTT DIAGRAM'!$H1))*('GANTT DIAGRAM'!$J1&gt;0)</definedName>
    <definedName name="period_selected">'GANTT DIAGRAM'!$K$2</definedName>
    <definedName name="PeriodInActual">'GANTT DIAGRAM'!A$4=MEDIAN('GANTT DIAGRAM'!A$4,'GANTT DIAGRAM'!$H1,'GANTT DIAGRAM'!$H1+'GANTT DIAGRAM'!$I1-1)</definedName>
    <definedName name="PeriodInPlan">'GANTT DIAGRAM'!A$4=MEDIAN('GANTT DIAGRAM'!A$4,'GANTT DIAGRAM'!$F1,'GANTT DIAGRAM'!$F1+'GANTT DIAGRAM'!$G1-1)</definedName>
    <definedName name="Plan">PeriodInPlan*('GANTT DIAGRAM'!$F1&gt;0)</definedName>
    <definedName name="_xlnm.Print_Titles" localSheetId="0">'GANTT DIAGRAM'!$3:$4</definedName>
    <definedName name="Real">(PeriodInActual*('GANTT DIAGRAM'!$H1&gt;0))*PeriodInPlan</definedName>
    <definedName name="TitleRegion..BO60">'GANTT DIAGRAM'!$C$3:$C$4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3AF175-F704-429F-A042-266AA9753486}" keepAlive="1" name="Consulta - period_selected" description="Conexión a la consulta 'period_selected' en el libro." type="5" refreshedVersion="0" background="1" saveData="1">
    <dbPr connection="Provider=Microsoft.Mashup.OleDb.1;Data Source=$Workbook$;Location=period_selected;Extended Properties=&quot;&quot;" command="SELECT * FROM [period_selected]"/>
  </connection>
</connections>
</file>

<file path=xl/sharedStrings.xml><?xml version="1.0" encoding="utf-8"?>
<sst xmlns="http://schemas.openxmlformats.org/spreadsheetml/2006/main" count="368" uniqueCount="247">
  <si>
    <t>ID</t>
  </si>
  <si>
    <t>REPORT</t>
  </si>
  <si>
    <t>University Enrollment System</t>
  </si>
  <si>
    <t>RESPONSIBLE</t>
  </si>
  <si>
    <t>START DATE</t>
  </si>
  <si>
    <t>DURATION</t>
  </si>
  <si>
    <t>REAL START</t>
  </si>
  <si>
    <t>REAL DURATION</t>
  </si>
  <si>
    <t>PERCENTAJGE COMPLETED</t>
  </si>
  <si>
    <t>REQUIREMENTS AND INITIAL PROJECT SETUP</t>
  </si>
  <si>
    <t>PROJECT PROGRESS REPORT</t>
  </si>
  <si>
    <t>BUG FIXING</t>
  </si>
  <si>
    <t>PROJECT PROPOSAL AND PRESENTATION</t>
  </si>
  <si>
    <t>All group</t>
  </si>
  <si>
    <t>Select the period to  show advance</t>
  </si>
  <si>
    <t>Period Select</t>
  </si>
  <si>
    <t>Plan duration</t>
  </si>
  <si>
    <t>Real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</si>
  <si>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Completed</t>
    </r>
  </si>
  <si>
    <r>
      <rPr>
        <sz val="12"/>
        <color theme="1" tint="0.24994659260841701"/>
        <rFont val="Calibri"/>
        <family val="2"/>
      </rPr>
      <t>Real (Out of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</si>
  <si>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Completed (Out of plan)</t>
    </r>
  </si>
  <si>
    <t>Create a landing page for our website #1</t>
  </si>
  <si>
    <t>Proposal - Presentation #2</t>
  </si>
  <si>
    <t>Proposal - Report #3</t>
  </si>
  <si>
    <t>Afiya-Farjana</t>
  </si>
  <si>
    <t>Create the rules-based chatbot #5</t>
  </si>
  <si>
    <t xml:space="preserve">Arnoldo </t>
  </si>
  <si>
    <t>Marcelo</t>
  </si>
  <si>
    <t>Jose</t>
  </si>
  <si>
    <t>Create a Gantt chart #6</t>
  </si>
  <si>
    <t>Create program pages #7</t>
  </si>
  <si>
    <t>Create the user registration system #8</t>
  </si>
  <si>
    <t>Establish tasks and resposibles</t>
  </si>
  <si>
    <t>DEVELOPMENT AND INTEGRATION</t>
  </si>
  <si>
    <t>Create program (landing) pages #4</t>
  </si>
  <si>
    <t>ACTIVITY (WBS)</t>
  </si>
  <si>
    <t>Brainstorm and select a feasible project idea</t>
  </si>
  <si>
    <t>Write the project proposal report following the given template</t>
  </si>
  <si>
    <t>Review and finalize content as a team</t>
  </si>
  <si>
    <t xml:space="preserve">Submit the report to the professor </t>
  </si>
  <si>
    <t>Outline the main sections of the proposal (objectives, problem, motivation, features)</t>
  </si>
  <si>
    <t>Design slide layout and visual style</t>
  </si>
  <si>
    <t>Write concise bullet points and talking notes</t>
  </si>
  <si>
    <t>Rehearse the presentation as a team</t>
  </si>
  <si>
    <t>Submit the final slides to the instructor / TA</t>
  </si>
  <si>
    <t>Set up Django base project and directory structure</t>
  </si>
  <si>
    <t>Create base.html and index.html templates</t>
  </si>
  <si>
    <t>Add navigation bar with links to main pages</t>
  </si>
  <si>
    <t>Add CSS styling for layout and responsiveness</t>
  </si>
  <si>
    <t>Test that the page loads correctly and navigation works</t>
  </si>
  <si>
    <t>Clone and set up the existing Django project from GitHub</t>
  </si>
  <si>
    <t>Design and integrate a custom university logo for consistent branding</t>
  </si>
  <si>
    <t>Add and style the navigation bar with active link highlighting using navbar.js</t>
  </si>
  <si>
    <t>Design and develop the main homepage, including a footer and embedded chatbox</t>
  </si>
  <si>
    <t>Create a dynamic admissions section using admission_sidebar.js to load pages (Graduate, Undergraduate, Online, Funding &amp; Scholarships) without reloading</t>
  </si>
  <si>
    <t xml:space="preserve">Implement breadcrumbs to display navigation paths (e.g., Home / Admissions / Graduate) </t>
  </si>
  <si>
    <t>Develop and link additional pages (Faculty, Departments, Contact Us) through Django views and URLs</t>
  </si>
  <si>
    <t>Apply consistent responsive styling using style.css and admissions.css for a cohesive design</t>
  </si>
  <si>
    <t>Test and verify page loading, dynamic content switching, and navigation flow to ensure all integrated elements work smoothly together</t>
  </si>
  <si>
    <t>Set up of Authentication App inside Django, including Migrations and proper set up</t>
  </si>
  <si>
    <t xml:space="preserve">Creation of Administrator section and Superuser credentials </t>
  </si>
  <si>
    <t>Creation of Registration Form, along with UI changes and middleware set up</t>
  </si>
  <si>
    <t>Creation of Log In Form, along with UI changes and middleware set up</t>
  </si>
  <si>
    <t>Creation of Log Out Form, along with UI changes and middleware set up</t>
  </si>
  <si>
    <t>Website Localization</t>
  </si>
  <si>
    <t>Chatbot Localization</t>
  </si>
  <si>
    <t>Testing</t>
  </si>
  <si>
    <t>Configure i18n in settings.py</t>
  </si>
  <si>
    <t>Add LocaleMiddleware and update middleware order</t>
  </si>
  <si>
    <t xml:space="preserve">Add language switch dropdown to navbar template </t>
  </si>
  <si>
    <t>Use tags in all templates</t>
  </si>
  <si>
    <t xml:space="preserve">Generate translation files </t>
  </si>
  <si>
    <t>Translate English → Mongolian for static UI texts</t>
  </si>
  <si>
    <t xml:space="preserve">Read active language from cookie/session in chatbot endpoint </t>
  </si>
  <si>
    <t>Implement language-aware rule-based chatbot logic</t>
  </si>
  <si>
    <t xml:space="preserve">Add translation dictionary (MVP) for chatbot responses (English &amp; Mongolian) </t>
  </si>
  <si>
    <t>Return chatbot replies in the user’s selected language</t>
  </si>
  <si>
    <t>Test chatbot responses in both languages</t>
  </si>
  <si>
    <t>Verify language switch affects both website and chatbot</t>
  </si>
  <si>
    <t>Write unit tests for language persistence and localized chatbot replies</t>
  </si>
  <si>
    <t>Prepare demo steps and update documentation</t>
  </si>
  <si>
    <t>Identify all project activities and deliverables from the proposal document</t>
  </si>
  <si>
    <t>Define each task’s start and end dates, duration, and dependencies</t>
  </si>
  <si>
    <t>Assign responsible members for each task</t>
  </si>
  <si>
    <t>Create the Gantt chart using Excel</t>
  </si>
  <si>
    <t>Create chat layout</t>
  </si>
  <si>
    <t>Add redirects to each program</t>
  </si>
  <si>
    <t>Design a program page including the available programs, a sidebar including the list (Undergraduate, Graduate, Online Courses)</t>
  </si>
  <si>
    <t>Create a sidebar for undergraduate, graduate, online courses section which are collapsible and are used to load pages (Undergraduate, Graduate, Online Courses) without reloading</t>
  </si>
  <si>
    <t>Implement breadcrumbs to display navigation paths (e.g., Programs / Undergraduate / BSc in Computer Science)</t>
  </si>
  <si>
    <t>Develop and link additional pages (Program Details) through Django views and URLs</t>
  </si>
  <si>
    <t>Apply consistent responsive styling using pages.css and style.css for a cohesive design</t>
  </si>
  <si>
    <t>Test and verify page loading, dynamic content navigation, and seamless flow through to ensure out all integrated elements</t>
  </si>
  <si>
    <t>Create language switch #9</t>
  </si>
  <si>
    <t>Create the User Feedback System #12</t>
  </si>
  <si>
    <t>Nabil</t>
  </si>
  <si>
    <t>Creating automatic resource delivery after registration #14</t>
  </si>
  <si>
    <t>Create chat transcript functionality for students #15</t>
  </si>
  <si>
    <t>Unit Test: Chatbot #16</t>
  </si>
  <si>
    <t>Configure the project database #17</t>
  </si>
  <si>
    <t>Progress Presentation #19</t>
  </si>
  <si>
    <t>Project Summary</t>
  </si>
  <si>
    <t>Use Case diagram summarizing the features</t>
  </si>
  <si>
    <t>Progress to Date</t>
  </si>
  <si>
    <t>Challenges and Solutions</t>
  </si>
  <si>
    <t>Next Steps</t>
  </si>
  <si>
    <t>Progress Report #20</t>
  </si>
  <si>
    <t>Set up the Django environment</t>
  </si>
  <si>
    <t>Download and clone the existing project</t>
  </si>
  <si>
    <t xml:space="preserve">Create the feedback input boxes utilizing Django forms </t>
  </si>
  <si>
    <t xml:space="preserve">Connect to the database </t>
  </si>
  <si>
    <t>Set up the feedback button in the navbar and match css styling to be consistent with the rest of the pages</t>
  </si>
  <si>
    <t>Perform the unit and demo tests</t>
  </si>
  <si>
    <t>Create student enrollment system #18</t>
  </si>
  <si>
    <t>ITERATION</t>
  </si>
  <si>
    <t>Jannat</t>
  </si>
  <si>
    <t>Add email field to user registration form using a custom UserRegistrationForm</t>
  </si>
  <si>
    <t>Update registration view to use the new form and validate email</t>
  </si>
  <si>
    <t>Implement helper function to send welcome + admission resources email</t>
  </si>
  <si>
    <t>Integrate email sending logic into the registration flow (trigger after successful registration)</t>
  </si>
  <si>
    <t>Configure SMTP email backend using .env (Ethereal for dev)</t>
  </si>
  <si>
    <t>Test email delivery + update E2E test to support new email field in registration flow</t>
  </si>
  <si>
    <t>Create Program models</t>
  </si>
  <si>
    <t>Create User models</t>
  </si>
  <si>
    <t>Create signal to detect changes on users</t>
  </si>
  <si>
    <t>Unit Test: Pages #27</t>
  </si>
  <si>
    <t>Unit Test: Users #28</t>
  </si>
  <si>
    <t>Selenge</t>
  </si>
  <si>
    <t>4,10</t>
  </si>
  <si>
    <t>1,1</t>
  </si>
  <si>
    <t>1,1,1</t>
  </si>
  <si>
    <t>1,1,2</t>
  </si>
  <si>
    <t>1,1,3</t>
  </si>
  <si>
    <t>1,1,4</t>
  </si>
  <si>
    <t>1,1,5</t>
  </si>
  <si>
    <t>1,2</t>
  </si>
  <si>
    <t>1,2,1</t>
  </si>
  <si>
    <t>1,2,2</t>
  </si>
  <si>
    <t>1,2,3</t>
  </si>
  <si>
    <t>1,2,4</t>
  </si>
  <si>
    <t>1,2,5</t>
  </si>
  <si>
    <t>1,3</t>
  </si>
  <si>
    <t>1,3,1</t>
  </si>
  <si>
    <t>1,3,2</t>
  </si>
  <si>
    <t>1,3,3</t>
  </si>
  <si>
    <t>1,3,4</t>
  </si>
  <si>
    <t>2,1</t>
  </si>
  <si>
    <t>2,2</t>
  </si>
  <si>
    <t>2,2,1</t>
  </si>
  <si>
    <t>2,2,2</t>
  </si>
  <si>
    <t>2,2,3</t>
  </si>
  <si>
    <t>2,2,4</t>
  </si>
  <si>
    <t>2,2,5</t>
  </si>
  <si>
    <t>2,2,6</t>
  </si>
  <si>
    <t>2,2,7</t>
  </si>
  <si>
    <t>2,2,8</t>
  </si>
  <si>
    <t>2,2,9</t>
  </si>
  <si>
    <t>2,3</t>
  </si>
  <si>
    <t>2,3,1</t>
  </si>
  <si>
    <t>2,3,2</t>
  </si>
  <si>
    <t>2,4</t>
  </si>
  <si>
    <t>2,4,1</t>
  </si>
  <si>
    <t>2,4,2</t>
  </si>
  <si>
    <t>2,4,3</t>
  </si>
  <si>
    <t>2,4,4</t>
  </si>
  <si>
    <t>2,5</t>
  </si>
  <si>
    <t>2,5,1</t>
  </si>
  <si>
    <t>2,5,2</t>
  </si>
  <si>
    <t>2,5,3</t>
  </si>
  <si>
    <t>2,5,4</t>
  </si>
  <si>
    <t>2,5,5</t>
  </si>
  <si>
    <t>2,5,6</t>
  </si>
  <si>
    <t>2,5,7</t>
  </si>
  <si>
    <t>2,6</t>
  </si>
  <si>
    <t>2,6,1</t>
  </si>
  <si>
    <t>2,6,2</t>
  </si>
  <si>
    <t>2,6,3</t>
  </si>
  <si>
    <t>2,6,4</t>
  </si>
  <si>
    <t>2,6,5</t>
  </si>
  <si>
    <t>3,1</t>
  </si>
  <si>
    <t>3,1,1</t>
  </si>
  <si>
    <t>3,1,2</t>
  </si>
  <si>
    <t>3,1,3</t>
  </si>
  <si>
    <t>3,1,4</t>
  </si>
  <si>
    <t>3,1,5</t>
  </si>
  <si>
    <t>3,2</t>
  </si>
  <si>
    <t>3,2,1</t>
  </si>
  <si>
    <t>3,2,2</t>
  </si>
  <si>
    <t>3,2,3</t>
  </si>
  <si>
    <t>3,2,4</t>
  </si>
  <si>
    <t>3,2,5</t>
  </si>
  <si>
    <t>4,1</t>
  </si>
  <si>
    <t>4,1,1</t>
  </si>
  <si>
    <t>4,1,2</t>
  </si>
  <si>
    <t>4,1,3</t>
  </si>
  <si>
    <t>4,2</t>
  </si>
  <si>
    <t>4,3</t>
  </si>
  <si>
    <t>4,4</t>
  </si>
  <si>
    <t>4,5</t>
  </si>
  <si>
    <t>4,6</t>
  </si>
  <si>
    <t>4,7</t>
  </si>
  <si>
    <t>4,8</t>
  </si>
  <si>
    <t>4,9</t>
  </si>
  <si>
    <t>4,11</t>
  </si>
  <si>
    <t>4,12</t>
  </si>
  <si>
    <t>4,13</t>
  </si>
  <si>
    <t>4,14</t>
  </si>
  <si>
    <t>4,15</t>
  </si>
  <si>
    <t>Convert Static Pages to Dynamic #30</t>
  </si>
  <si>
    <t>Implement a professional development workflow #29</t>
  </si>
  <si>
    <t>Security &amp; Secrets Management</t>
  </si>
  <si>
    <t>Code Quality &amp; Formatting</t>
  </si>
  <si>
    <t>Pre-commit Hooks</t>
  </si>
  <si>
    <t>CI Pipeline Integration</t>
  </si>
  <si>
    <t>Architecture &amp; Commit Standards</t>
  </si>
  <si>
    <t>4,10,1</t>
  </si>
  <si>
    <t>4,10,2</t>
  </si>
  <si>
    <t>4,10,3</t>
  </si>
  <si>
    <t>Unit test : Resource delivery #31</t>
  </si>
  <si>
    <t>Unit test: Localization #32</t>
  </si>
  <si>
    <t>Unit test: Feedback #33</t>
  </si>
  <si>
    <t>Send program resources via email upon request to the chatbot #35</t>
  </si>
  <si>
    <t>Create logic so that the student can navigate the chatbot to the email delivery option</t>
  </si>
  <si>
    <t>Create email delivery logic on the Console Backend SMTP as a first test</t>
  </si>
  <si>
    <t>Replace the console backend information with a SMTP mailbox sandbox service (ethereal.emai)</t>
  </si>
  <si>
    <t>Ensure that no secret keys are exposed</t>
  </si>
  <si>
    <t>4,15,1</t>
  </si>
  <si>
    <t>4,15,2</t>
  </si>
  <si>
    <t>4,15,3</t>
  </si>
  <si>
    <t>4,15,4</t>
  </si>
  <si>
    <t>4,1,4</t>
  </si>
  <si>
    <t>4,1,5</t>
  </si>
  <si>
    <t>4,1,6</t>
  </si>
  <si>
    <t>4,4,1</t>
  </si>
  <si>
    <t>4,4,2</t>
  </si>
  <si>
    <t>4,4,3</t>
  </si>
  <si>
    <t>4,9,1</t>
  </si>
  <si>
    <t>4,9,2</t>
  </si>
  <si>
    <t>4,9,3</t>
  </si>
  <si>
    <t>4,9,4</t>
  </si>
  <si>
    <t>4,9,5</t>
  </si>
  <si>
    <t>4,11,1</t>
  </si>
  <si>
    <t>4,11,2</t>
  </si>
  <si>
    <t>4,11,3</t>
  </si>
  <si>
    <t>4,11,4</t>
  </si>
  <si>
    <t>4,11,5</t>
  </si>
  <si>
    <t>4,11,6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</si>
</sst>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0000"/>
      <name val="Arial"/>
      <family val="2"/>
    </font>
    <font>
      <sz val="10"/>
      <name val="Arial"/>
      <family val="2"/>
    </font>
    <font>
      <b/>
      <sz val="8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3"/>
      <color theme="1" tint="0.24994659260841701"/>
      <name val="Calibri"/>
      <family val="2"/>
    </font>
    <font>
      <sz val="8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2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0" borderId="0"/>
    <xf numFmtId="0" fontId="13" fillId="0" borderId="0"/>
    <xf numFmtId="0" fontId="14" fillId="0" borderId="0"/>
  </cellStyleXfs>
  <cellXfs count="42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0" fillId="0" borderId="0" xfId="0" applyAlignment="1">
      <alignment vertical="center" wrapText="1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0" fillId="0" borderId="0" xfId="5" applyFont="1" applyBorder="1" applyAlignment="1">
      <alignment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16" fontId="15" fillId="0" borderId="0" xfId="4" applyNumberFormat="1" applyFont="1">
      <alignment horizontal="center" wrapText="1"/>
    </xf>
    <xf numFmtId="16" fontId="16" fillId="0" borderId="0" xfId="11" applyNumberFormat="1" applyFont="1" applyAlignment="1">
      <alignment horizontal="left" textRotation="90"/>
    </xf>
    <xf numFmtId="0" fontId="17" fillId="0" borderId="0" xfId="2" applyFont="1">
      <alignment horizontal="left" wrapText="1"/>
    </xf>
    <xf numFmtId="0" fontId="11" fillId="0" borderId="0" xfId="12" applyAlignment="1">
      <alignment horizontal="center" vertical="center"/>
    </xf>
    <xf numFmtId="0" fontId="9" fillId="0" borderId="0" xfId="9" applyAlignment="1">
      <alignment horizontal="center" vertical="center"/>
    </xf>
    <xf numFmtId="0" fontId="9" fillId="0" borderId="2" xfId="9" applyBorder="1" applyAlignment="1">
      <alignment horizontal="center" vertical="center"/>
    </xf>
    <xf numFmtId="0" fontId="4" fillId="0" borderId="0" xfId="2" applyFont="1" applyAlignment="1">
      <alignment horizontal="center" wrapText="1"/>
    </xf>
    <xf numFmtId="0" fontId="17" fillId="0" borderId="0" xfId="2" applyFont="1" applyAlignment="1">
      <alignment horizontal="center" wrapText="1"/>
    </xf>
    <xf numFmtId="0" fontId="2" fillId="0" borderId="0" xfId="2" applyAlignment="1">
      <alignment horizontal="center" wrapText="1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7" fillId="0" borderId="0" xfId="8" applyAlignment="1">
      <alignment horizontal="center" vertical="center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5" xfId="10" applyBorder="1">
      <alignment horizontal="center" vertical="center" wrapText="1"/>
    </xf>
    <xf numFmtId="0" fontId="5" fillId="0" borderId="6" xfId="5" applyFont="1" applyBorder="1">
      <alignment horizontal="left" vertical="center"/>
    </xf>
    <xf numFmtId="0" fontId="5" fillId="0" borderId="0" xfId="5" applyFont="1">
      <alignment horizontal="left" vertical="center"/>
    </xf>
    <xf numFmtId="0" fontId="5" fillId="0" borderId="7" xfId="5" applyFont="1" applyBorder="1">
      <alignment horizontal="left" vertical="center"/>
    </xf>
    <xf numFmtId="0" fontId="5" fillId="0" borderId="0" xfId="5" applyFont="1" applyBorder="1">
      <alignment horizontal="left" vertical="center"/>
    </xf>
  </cellXfs>
  <cellStyles count="22">
    <cellStyle name="% completado" xfId="16" xr:uid="{00000000-0005-0000-0000-000000000000}"/>
    <cellStyle name="Actividad" xfId="2" xr:uid="{00000000-0005-0000-0000-000002000000}"/>
    <cellStyle name="Control del periodo resaltado" xfId="7" xr:uid="{00000000-0005-0000-0000-00000E000000}"/>
    <cellStyle name="Encabezados de los peri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Normal 2" xfId="20" xr:uid="{BF02181E-A1E5-42F1-884D-4B6E0356183A}"/>
    <cellStyle name="Normal 2 2" xfId="21" xr:uid="{1804AEE0-CA62-4E8F-9BEE-8646283F319B}"/>
    <cellStyle name="Normal 3" xfId="19" xr:uid="{A8E1F305-693A-4CAB-A4C0-F2C8BFDCC892}"/>
    <cellStyle name="Porcentaje completado" xfId="6" xr:uid="{00000000-0005-0000-0000-00000C000000}"/>
    <cellStyle name="Title" xfId="8" builtinId="15" customBuiltin="1"/>
    <cellStyle name="Valor del periodo" xfId="13" xr:uid="{00000000-0005-0000-0000-00000F000000}"/>
  </cellStyles>
  <dxfs count="13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1" defaultTableStyle="TableStyleMedium2" defaultPivotStyle="PivotStyleLight16">
    <tableStyle name="Invisible" pivot="0" table="0" count="0" xr9:uid="{DC6A820E-D899-4192-8222-41AD343DFD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DI129"/>
  <sheetViews>
    <sheetView showGridLines="0" tabSelected="1" zoomScale="60" zoomScaleNormal="60" zoomScaleSheetLayoutView="80" workbookViewId="0">
      <pane xSplit="10" ySplit="4" topLeftCell="BY38" activePane="bottomRight" state="frozen"/>
      <selection pane="topRight" activeCell="J1" sqref="J1"/>
      <selection pane="bottomLeft" activeCell="A5" sqref="A5"/>
      <selection pane="bottomRight" activeCell="J70" sqref="J70"/>
    </sheetView>
  </sheetViews>
  <sheetFormatPr defaultColWidth="3.25" defaultRowHeight="30" customHeight="1" outlineLevelRow="2" x14ac:dyDescent="0.3"/>
  <cols>
    <col min="1" max="1" width="2.625" customWidth="1"/>
    <col min="2" max="2" width="7.25" customWidth="1"/>
    <col min="3" max="3" width="69.625" style="2" customWidth="1"/>
    <col min="4" max="4" width="14.25" style="29" bestFit="1" customWidth="1"/>
    <col min="5" max="5" width="20.625" style="2" customWidth="1"/>
    <col min="6" max="9" width="10.625" style="1" customWidth="1"/>
    <col min="10" max="10" width="13.75" style="4" customWidth="1"/>
    <col min="11" max="30" width="4.125" style="1" customWidth="1"/>
    <col min="31" max="94" width="4.125" customWidth="1"/>
    <col min="110" max="113" width="4" bestFit="1" customWidth="1"/>
  </cols>
  <sheetData>
    <row r="1" spans="2:113" ht="60" customHeight="1" thickBot="1" x14ac:dyDescent="0.3">
      <c r="C1" s="34" t="s">
        <v>2</v>
      </c>
      <c r="D1" s="34"/>
      <c r="E1" s="34"/>
      <c r="F1" s="34"/>
      <c r="G1" s="34"/>
      <c r="H1" s="34"/>
      <c r="I1" s="34"/>
      <c r="J1" s="34"/>
    </row>
    <row r="2" spans="2:113" ht="21" customHeight="1" thickTop="1" thickBot="1" x14ac:dyDescent="0.3">
      <c r="C2" s="17" t="s">
        <v>14</v>
      </c>
      <c r="D2" s="24"/>
      <c r="E2" s="17"/>
      <c r="F2" s="17"/>
      <c r="G2" s="17"/>
      <c r="H2" s="17"/>
      <c r="I2" s="17"/>
      <c r="J2" s="5" t="s">
        <v>15</v>
      </c>
      <c r="K2" s="11">
        <v>42</v>
      </c>
      <c r="M2" s="12"/>
      <c r="N2" s="38" t="s">
        <v>16</v>
      </c>
      <c r="O2" s="39"/>
      <c r="P2" s="39"/>
      <c r="Q2" s="39"/>
      <c r="R2" s="40"/>
      <c r="S2" s="13"/>
      <c r="T2" s="38" t="s">
        <v>17</v>
      </c>
      <c r="U2" s="41"/>
      <c r="V2" s="41"/>
      <c r="W2" s="14"/>
      <c r="X2" s="35" t="s">
        <v>18</v>
      </c>
      <c r="Y2" s="36"/>
      <c r="Z2" s="36"/>
      <c r="AA2" s="36"/>
      <c r="AB2" s="15"/>
      <c r="AC2" s="35" t="s">
        <v>19</v>
      </c>
      <c r="AD2" s="36"/>
      <c r="AE2" s="36"/>
      <c r="AF2" s="36"/>
      <c r="AG2" s="36"/>
      <c r="AH2" s="36"/>
      <c r="AI2" s="16"/>
      <c r="AJ2" s="35" t="s">
        <v>20</v>
      </c>
      <c r="AK2" s="36"/>
      <c r="AL2" s="36"/>
      <c r="AM2" s="36"/>
      <c r="AN2" s="36"/>
      <c r="AO2" s="36"/>
      <c r="AP2" s="36"/>
      <c r="AQ2" s="36"/>
      <c r="AR2" s="18"/>
      <c r="AS2" s="18"/>
    </row>
    <row r="3" spans="2:113" s="10" customFormat="1" ht="63" customHeight="1" thickTop="1" x14ac:dyDescent="0.2">
      <c r="B3" s="30" t="s">
        <v>0</v>
      </c>
      <c r="C3" s="32" t="s">
        <v>35</v>
      </c>
      <c r="D3" s="25" t="s">
        <v>114</v>
      </c>
      <c r="E3" s="19" t="s">
        <v>3</v>
      </c>
      <c r="F3" s="30" t="s">
        <v>4</v>
      </c>
      <c r="G3" s="30" t="s">
        <v>5</v>
      </c>
      <c r="H3" s="30" t="s">
        <v>6</v>
      </c>
      <c r="I3" s="30" t="s">
        <v>7</v>
      </c>
      <c r="J3" s="37" t="s">
        <v>8</v>
      </c>
      <c r="K3" s="22">
        <v>45915</v>
      </c>
      <c r="L3" s="22">
        <v>45916</v>
      </c>
      <c r="M3" s="22">
        <v>45917</v>
      </c>
      <c r="N3" s="22">
        <v>45918</v>
      </c>
      <c r="O3" s="22">
        <v>45919</v>
      </c>
      <c r="P3" s="22">
        <v>45920</v>
      </c>
      <c r="Q3" s="22">
        <v>45921</v>
      </c>
      <c r="R3" s="22">
        <v>45922</v>
      </c>
      <c r="S3" s="22">
        <v>45923</v>
      </c>
      <c r="T3" s="22">
        <v>45924</v>
      </c>
      <c r="U3" s="22">
        <v>45925</v>
      </c>
      <c r="V3" s="22">
        <v>45926</v>
      </c>
      <c r="W3" s="22">
        <v>45927</v>
      </c>
      <c r="X3" s="22">
        <v>45928</v>
      </c>
      <c r="Y3" s="22">
        <v>45929</v>
      </c>
      <c r="Z3" s="22">
        <v>45930</v>
      </c>
      <c r="AA3" s="22">
        <v>45931</v>
      </c>
      <c r="AB3" s="22">
        <v>45932</v>
      </c>
      <c r="AC3" s="22">
        <v>45933</v>
      </c>
      <c r="AD3" s="22">
        <v>45934</v>
      </c>
      <c r="AE3" s="22">
        <v>45935</v>
      </c>
      <c r="AF3" s="22">
        <v>45936</v>
      </c>
      <c r="AG3" s="22">
        <v>45937</v>
      </c>
      <c r="AH3" s="22">
        <v>45938</v>
      </c>
      <c r="AI3" s="22">
        <v>45939</v>
      </c>
      <c r="AJ3" s="22">
        <v>45940</v>
      </c>
      <c r="AK3" s="22">
        <v>45941</v>
      </c>
      <c r="AL3" s="22">
        <v>45942</v>
      </c>
      <c r="AM3" s="22">
        <v>45943</v>
      </c>
      <c r="AN3" s="22">
        <v>45944</v>
      </c>
      <c r="AO3" s="22">
        <v>45945</v>
      </c>
      <c r="AP3" s="22">
        <v>45946</v>
      </c>
      <c r="AQ3" s="22">
        <v>45947</v>
      </c>
      <c r="AR3" s="22">
        <v>45948</v>
      </c>
      <c r="AS3" s="22">
        <v>45949</v>
      </c>
      <c r="AT3" s="22">
        <v>45950</v>
      </c>
      <c r="AU3" s="22">
        <v>45951</v>
      </c>
      <c r="AV3" s="22">
        <v>45952</v>
      </c>
      <c r="AW3" s="22">
        <v>45953</v>
      </c>
      <c r="AX3" s="22">
        <v>45954</v>
      </c>
      <c r="AY3" s="22">
        <v>45955</v>
      </c>
      <c r="AZ3" s="22">
        <v>45956</v>
      </c>
      <c r="BA3" s="22">
        <v>45957</v>
      </c>
      <c r="BB3" s="22">
        <v>45958</v>
      </c>
      <c r="BC3" s="22">
        <v>45959</v>
      </c>
      <c r="BD3" s="22">
        <v>45960</v>
      </c>
      <c r="BE3" s="22">
        <v>45961</v>
      </c>
      <c r="BF3" s="22">
        <v>45962</v>
      </c>
      <c r="BG3" s="22">
        <v>45963</v>
      </c>
      <c r="BH3" s="22">
        <v>45964</v>
      </c>
      <c r="BI3" s="22">
        <v>45965</v>
      </c>
      <c r="BJ3" s="22">
        <v>45966</v>
      </c>
      <c r="BK3" s="22">
        <v>45967</v>
      </c>
      <c r="BL3" s="22">
        <v>45968</v>
      </c>
      <c r="BM3" s="22">
        <v>45969</v>
      </c>
      <c r="BN3" s="22">
        <v>45970</v>
      </c>
      <c r="BO3" s="22">
        <v>45971</v>
      </c>
      <c r="BP3" s="22">
        <v>45972</v>
      </c>
      <c r="BQ3" s="22">
        <v>45973</v>
      </c>
      <c r="BR3" s="22">
        <v>45974</v>
      </c>
      <c r="BS3" s="22">
        <v>45975</v>
      </c>
      <c r="BT3" s="22">
        <v>45976</v>
      </c>
      <c r="BU3" s="22">
        <v>45977</v>
      </c>
      <c r="BV3" s="22">
        <v>45978</v>
      </c>
      <c r="BW3" s="22">
        <v>45979</v>
      </c>
      <c r="BX3" s="22">
        <v>45980</v>
      </c>
      <c r="BY3" s="22">
        <v>45981</v>
      </c>
      <c r="BZ3" s="22">
        <v>45982</v>
      </c>
      <c r="CA3" s="22">
        <v>45983</v>
      </c>
      <c r="CB3" s="22">
        <v>45984</v>
      </c>
      <c r="CC3" s="22">
        <v>45985</v>
      </c>
      <c r="CD3" s="22">
        <v>45986</v>
      </c>
      <c r="CE3" s="22">
        <v>45987</v>
      </c>
      <c r="CF3" s="22">
        <v>45988</v>
      </c>
      <c r="CG3" s="22">
        <v>45989</v>
      </c>
      <c r="CH3" s="22">
        <v>45990</v>
      </c>
      <c r="CI3" s="22">
        <v>45991</v>
      </c>
      <c r="CJ3" s="22">
        <v>45992</v>
      </c>
      <c r="CK3" s="22">
        <v>45993</v>
      </c>
      <c r="CL3" s="22">
        <v>45994</v>
      </c>
      <c r="CM3" s="22">
        <v>45995</v>
      </c>
      <c r="CN3" s="22">
        <v>45996</v>
      </c>
      <c r="CO3" s="22">
        <v>45997</v>
      </c>
      <c r="CP3" s="22">
        <v>45998</v>
      </c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</row>
    <row r="4" spans="2:113" ht="15.75" customHeight="1" x14ac:dyDescent="0.25">
      <c r="B4" s="31"/>
      <c r="C4" s="33"/>
      <c r="D4" s="26"/>
      <c r="E4" s="20"/>
      <c r="F4" s="31"/>
      <c r="G4" s="31"/>
      <c r="H4" s="31"/>
      <c r="I4" s="31"/>
      <c r="J4" s="31"/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3">
        <v>10</v>
      </c>
      <c r="U4" s="3">
        <v>11</v>
      </c>
      <c r="V4" s="3">
        <v>12</v>
      </c>
      <c r="W4" s="3">
        <v>13</v>
      </c>
      <c r="X4" s="3">
        <v>14</v>
      </c>
      <c r="Y4" s="3">
        <v>15</v>
      </c>
      <c r="Z4" s="3">
        <v>16</v>
      </c>
      <c r="AA4" s="3">
        <v>17</v>
      </c>
      <c r="AB4" s="3">
        <v>18</v>
      </c>
      <c r="AC4" s="3">
        <v>19</v>
      </c>
      <c r="AD4" s="3">
        <v>20</v>
      </c>
      <c r="AE4" s="3">
        <v>21</v>
      </c>
      <c r="AF4" s="3">
        <v>22</v>
      </c>
      <c r="AG4" s="3">
        <v>23</v>
      </c>
      <c r="AH4" s="3">
        <v>24</v>
      </c>
      <c r="AI4" s="3">
        <v>25</v>
      </c>
      <c r="AJ4" s="3">
        <v>26</v>
      </c>
      <c r="AK4" s="3">
        <v>27</v>
      </c>
      <c r="AL4" s="3">
        <v>28</v>
      </c>
      <c r="AM4" s="3">
        <v>29</v>
      </c>
      <c r="AN4" s="3">
        <v>30</v>
      </c>
      <c r="AO4" s="3">
        <v>31</v>
      </c>
      <c r="AP4" s="3">
        <v>32</v>
      </c>
      <c r="AQ4" s="3">
        <v>33</v>
      </c>
      <c r="AR4" s="3">
        <v>34</v>
      </c>
      <c r="AS4" s="3">
        <v>35</v>
      </c>
      <c r="AT4" s="3">
        <v>36</v>
      </c>
      <c r="AU4" s="3">
        <v>37</v>
      </c>
      <c r="AV4" s="3">
        <v>38</v>
      </c>
      <c r="AW4" s="3">
        <v>39</v>
      </c>
      <c r="AX4" s="3">
        <v>40</v>
      </c>
      <c r="AY4" s="3">
        <v>41</v>
      </c>
      <c r="AZ4" s="3">
        <v>42</v>
      </c>
      <c r="BA4" s="3">
        <v>43</v>
      </c>
      <c r="BB4" s="3">
        <v>44</v>
      </c>
      <c r="BC4" s="3">
        <v>45</v>
      </c>
      <c r="BD4" s="3">
        <v>46</v>
      </c>
      <c r="BE4" s="3">
        <v>47</v>
      </c>
      <c r="BF4" s="3">
        <v>48</v>
      </c>
      <c r="BG4" s="3">
        <v>49</v>
      </c>
      <c r="BH4" s="3">
        <v>50</v>
      </c>
      <c r="BI4" s="3">
        <v>51</v>
      </c>
      <c r="BJ4" s="3">
        <v>52</v>
      </c>
      <c r="BK4" s="3">
        <v>53</v>
      </c>
      <c r="BL4" s="3">
        <v>54</v>
      </c>
      <c r="BM4" s="3">
        <v>55</v>
      </c>
      <c r="BN4" s="3">
        <v>56</v>
      </c>
      <c r="BO4" s="3">
        <v>57</v>
      </c>
      <c r="BP4" s="3">
        <v>58</v>
      </c>
      <c r="BQ4" s="3">
        <v>59</v>
      </c>
      <c r="BR4" s="3">
        <v>60</v>
      </c>
      <c r="BS4" s="3">
        <v>61</v>
      </c>
      <c r="BT4" s="3">
        <v>62</v>
      </c>
      <c r="BU4" s="3">
        <v>63</v>
      </c>
      <c r="BV4" s="3">
        <v>64</v>
      </c>
      <c r="BW4" s="3">
        <v>65</v>
      </c>
      <c r="BX4" s="3">
        <v>66</v>
      </c>
      <c r="BY4" s="3">
        <v>67</v>
      </c>
      <c r="BZ4" s="3">
        <v>68</v>
      </c>
      <c r="CA4" s="3">
        <v>69</v>
      </c>
      <c r="CB4" s="3">
        <v>70</v>
      </c>
      <c r="CC4" s="3">
        <v>71</v>
      </c>
      <c r="CD4" s="3">
        <v>72</v>
      </c>
      <c r="CE4" s="3">
        <v>73</v>
      </c>
      <c r="CF4" s="3">
        <v>74</v>
      </c>
      <c r="CG4" s="3">
        <v>75</v>
      </c>
      <c r="CH4" s="3">
        <v>76</v>
      </c>
      <c r="CI4" s="3">
        <v>77</v>
      </c>
      <c r="CJ4" s="3">
        <v>78</v>
      </c>
      <c r="CK4" s="3">
        <v>79</v>
      </c>
      <c r="CL4" s="3">
        <v>80</v>
      </c>
      <c r="CM4" s="3">
        <v>81</v>
      </c>
      <c r="CN4" s="3">
        <v>82</v>
      </c>
      <c r="CO4" s="3">
        <v>83</v>
      </c>
      <c r="CP4" s="3">
        <v>84</v>
      </c>
      <c r="CQ4" s="3">
        <v>85</v>
      </c>
      <c r="CR4" s="3">
        <v>86</v>
      </c>
      <c r="CS4" s="3">
        <v>87</v>
      </c>
      <c r="CT4" s="3">
        <v>88</v>
      </c>
      <c r="CU4" s="3">
        <v>89</v>
      </c>
      <c r="CV4" s="3">
        <v>90</v>
      </c>
      <c r="CW4" s="3">
        <v>91</v>
      </c>
      <c r="CX4" s="3">
        <v>92</v>
      </c>
      <c r="CY4" s="3">
        <v>93</v>
      </c>
      <c r="CZ4" s="3">
        <v>94</v>
      </c>
      <c r="DA4" s="3">
        <v>95</v>
      </c>
      <c r="DB4" s="3">
        <v>96</v>
      </c>
      <c r="DC4" s="3">
        <v>97</v>
      </c>
      <c r="DD4" s="3">
        <v>98</v>
      </c>
      <c r="DE4" s="3">
        <v>99</v>
      </c>
      <c r="DF4" s="3">
        <v>100</v>
      </c>
      <c r="DG4" s="3">
        <v>101</v>
      </c>
      <c r="DH4" s="3">
        <v>102</v>
      </c>
      <c r="DI4" s="3">
        <v>103</v>
      </c>
    </row>
    <row r="5" spans="2:113" ht="30" customHeight="1" x14ac:dyDescent="0.3">
      <c r="B5">
        <v>1</v>
      </c>
      <c r="C5" s="6" t="s">
        <v>12</v>
      </c>
      <c r="D5" s="27">
        <v>1</v>
      </c>
      <c r="E5" s="6" t="s">
        <v>13</v>
      </c>
      <c r="F5" s="7">
        <v>1</v>
      </c>
      <c r="G5" s="7">
        <v>14</v>
      </c>
      <c r="H5" s="7">
        <v>1</v>
      </c>
      <c r="I5" s="7">
        <v>14</v>
      </c>
      <c r="J5" s="8">
        <v>1</v>
      </c>
    </row>
    <row r="6" spans="2:113" ht="30" customHeight="1" x14ac:dyDescent="0.3">
      <c r="B6" t="s">
        <v>129</v>
      </c>
      <c r="C6" s="6" t="s">
        <v>21</v>
      </c>
      <c r="D6" s="27">
        <v>1</v>
      </c>
      <c r="E6" s="6" t="s">
        <v>27</v>
      </c>
      <c r="F6" s="7">
        <v>1</v>
      </c>
      <c r="G6" s="7">
        <v>10</v>
      </c>
      <c r="H6" s="7">
        <v>1</v>
      </c>
      <c r="I6" s="7">
        <v>18</v>
      </c>
      <c r="J6" s="8">
        <v>1</v>
      </c>
    </row>
    <row r="7" spans="2:113" ht="30" hidden="1" customHeight="1" outlineLevel="1" x14ac:dyDescent="0.3">
      <c r="B7" t="s">
        <v>130</v>
      </c>
      <c r="C7" s="23" t="s">
        <v>45</v>
      </c>
      <c r="D7" s="28"/>
      <c r="E7" s="6" t="s">
        <v>27</v>
      </c>
      <c r="F7" s="7">
        <v>1</v>
      </c>
      <c r="G7" s="7">
        <v>10</v>
      </c>
      <c r="H7" s="7">
        <v>1</v>
      </c>
      <c r="I7" s="7">
        <v>10</v>
      </c>
      <c r="J7" s="8">
        <v>1</v>
      </c>
    </row>
    <row r="8" spans="2:113" ht="30" hidden="1" customHeight="1" outlineLevel="1" x14ac:dyDescent="0.3">
      <c r="B8" t="s">
        <v>131</v>
      </c>
      <c r="C8" s="23" t="s">
        <v>46</v>
      </c>
      <c r="D8" s="28"/>
      <c r="E8" s="6" t="s">
        <v>27</v>
      </c>
      <c r="F8" s="7">
        <v>1</v>
      </c>
      <c r="G8" s="7">
        <v>10</v>
      </c>
      <c r="H8" s="7">
        <v>1</v>
      </c>
      <c r="I8" s="7">
        <v>10</v>
      </c>
      <c r="J8" s="8">
        <v>1</v>
      </c>
    </row>
    <row r="9" spans="2:113" ht="30" hidden="1" customHeight="1" outlineLevel="1" x14ac:dyDescent="0.3">
      <c r="B9" t="s">
        <v>132</v>
      </c>
      <c r="C9" s="23" t="s">
        <v>47</v>
      </c>
      <c r="D9" s="28"/>
      <c r="E9" s="6" t="s">
        <v>27</v>
      </c>
      <c r="F9" s="7">
        <v>1</v>
      </c>
      <c r="G9" s="7">
        <v>10</v>
      </c>
      <c r="H9" s="7">
        <v>1</v>
      </c>
      <c r="I9" s="7">
        <v>10</v>
      </c>
      <c r="J9" s="8">
        <v>1</v>
      </c>
    </row>
    <row r="10" spans="2:113" ht="30" hidden="1" customHeight="1" outlineLevel="1" x14ac:dyDescent="0.3">
      <c r="B10" t="s">
        <v>133</v>
      </c>
      <c r="C10" s="23" t="s">
        <v>48</v>
      </c>
      <c r="D10" s="28"/>
      <c r="E10" s="6" t="s">
        <v>27</v>
      </c>
      <c r="F10" s="7">
        <v>1</v>
      </c>
      <c r="G10" s="7">
        <v>10</v>
      </c>
      <c r="H10" s="7">
        <v>1</v>
      </c>
      <c r="I10" s="7">
        <v>10</v>
      </c>
      <c r="J10" s="8">
        <v>1</v>
      </c>
    </row>
    <row r="11" spans="2:113" ht="30" hidden="1" customHeight="1" outlineLevel="1" x14ac:dyDescent="0.3">
      <c r="B11" t="s">
        <v>134</v>
      </c>
      <c r="C11" s="23" t="s">
        <v>49</v>
      </c>
      <c r="D11" s="28"/>
      <c r="E11" s="6" t="s">
        <v>27</v>
      </c>
      <c r="F11" s="7">
        <v>1</v>
      </c>
      <c r="G11" s="7">
        <v>10</v>
      </c>
      <c r="H11" s="7">
        <v>1</v>
      </c>
      <c r="I11" s="7">
        <v>10</v>
      </c>
      <c r="J11" s="8">
        <v>1</v>
      </c>
    </row>
    <row r="12" spans="2:113" ht="30" customHeight="1" collapsed="1" x14ac:dyDescent="0.3">
      <c r="B12" t="s">
        <v>135</v>
      </c>
      <c r="C12" s="6" t="s">
        <v>22</v>
      </c>
      <c r="D12" s="27">
        <v>1</v>
      </c>
      <c r="E12" s="6" t="s">
        <v>13</v>
      </c>
      <c r="F12" s="7">
        <v>4</v>
      </c>
      <c r="G12" s="7">
        <v>5</v>
      </c>
      <c r="H12" s="7">
        <v>4</v>
      </c>
      <c r="I12" s="7">
        <v>5</v>
      </c>
      <c r="J12" s="8">
        <v>1</v>
      </c>
    </row>
    <row r="13" spans="2:113" ht="30" hidden="1" customHeight="1" outlineLevel="1" x14ac:dyDescent="0.3">
      <c r="B13" t="s">
        <v>136</v>
      </c>
      <c r="C13" s="23" t="s">
        <v>40</v>
      </c>
      <c r="D13" s="28"/>
      <c r="E13" s="6" t="s">
        <v>13</v>
      </c>
      <c r="F13" s="7">
        <v>13</v>
      </c>
      <c r="G13" s="7">
        <v>1</v>
      </c>
      <c r="H13" s="7">
        <v>13</v>
      </c>
      <c r="I13" s="7">
        <v>1</v>
      </c>
      <c r="J13" s="8">
        <v>1</v>
      </c>
    </row>
    <row r="14" spans="2:113" ht="30" hidden="1" customHeight="1" outlineLevel="1" x14ac:dyDescent="0.3">
      <c r="B14" t="s">
        <v>137</v>
      </c>
      <c r="C14" s="23" t="s">
        <v>41</v>
      </c>
      <c r="D14" s="28"/>
      <c r="E14" s="6" t="s">
        <v>13</v>
      </c>
      <c r="F14" s="7">
        <v>13</v>
      </c>
      <c r="G14" s="7">
        <v>1</v>
      </c>
      <c r="H14" s="7">
        <v>13</v>
      </c>
      <c r="I14" s="7">
        <v>1</v>
      </c>
      <c r="J14" s="8">
        <v>1</v>
      </c>
    </row>
    <row r="15" spans="2:113" ht="30" hidden="1" customHeight="1" outlineLevel="1" x14ac:dyDescent="0.3">
      <c r="B15" t="s">
        <v>138</v>
      </c>
      <c r="C15" s="23" t="s">
        <v>42</v>
      </c>
      <c r="D15" s="28"/>
      <c r="E15" s="6" t="s">
        <v>13</v>
      </c>
      <c r="F15" s="7">
        <v>13</v>
      </c>
      <c r="G15" s="7">
        <v>1</v>
      </c>
      <c r="H15" s="7">
        <v>13</v>
      </c>
      <c r="I15" s="7">
        <v>1</v>
      </c>
      <c r="J15" s="8">
        <v>1</v>
      </c>
    </row>
    <row r="16" spans="2:113" ht="30" hidden="1" customHeight="1" outlineLevel="1" x14ac:dyDescent="0.3">
      <c r="B16" t="s">
        <v>139</v>
      </c>
      <c r="C16" s="23" t="s">
        <v>43</v>
      </c>
      <c r="D16" s="28"/>
      <c r="E16" s="6" t="s">
        <v>13</v>
      </c>
      <c r="F16" s="7">
        <v>13</v>
      </c>
      <c r="G16" s="7">
        <v>1</v>
      </c>
      <c r="H16" s="7">
        <v>13</v>
      </c>
      <c r="I16" s="7">
        <v>1</v>
      </c>
      <c r="J16" s="8">
        <v>1</v>
      </c>
    </row>
    <row r="17" spans="2:10" ht="30" hidden="1" customHeight="1" outlineLevel="1" x14ac:dyDescent="0.3">
      <c r="B17" t="s">
        <v>140</v>
      </c>
      <c r="C17" s="23" t="s">
        <v>44</v>
      </c>
      <c r="D17" s="28"/>
      <c r="E17" s="6" t="s">
        <v>13</v>
      </c>
      <c r="F17" s="7">
        <v>13</v>
      </c>
      <c r="G17" s="7">
        <v>1</v>
      </c>
      <c r="H17" s="7">
        <v>13</v>
      </c>
      <c r="I17" s="7">
        <v>1</v>
      </c>
      <c r="J17" s="8">
        <v>1</v>
      </c>
    </row>
    <row r="18" spans="2:10" ht="30" customHeight="1" collapsed="1" x14ac:dyDescent="0.3">
      <c r="B18" t="s">
        <v>141</v>
      </c>
      <c r="C18" s="6" t="s">
        <v>23</v>
      </c>
      <c r="D18" s="27">
        <v>1</v>
      </c>
      <c r="E18" s="6" t="s">
        <v>13</v>
      </c>
      <c r="F18" s="7">
        <v>8</v>
      </c>
      <c r="G18" s="7">
        <v>4</v>
      </c>
      <c r="H18" s="7">
        <v>8</v>
      </c>
      <c r="I18" s="7">
        <v>4</v>
      </c>
      <c r="J18" s="8">
        <v>1</v>
      </c>
    </row>
    <row r="19" spans="2:10" ht="30" hidden="1" customHeight="1" outlineLevel="1" x14ac:dyDescent="0.3">
      <c r="B19" t="s">
        <v>142</v>
      </c>
      <c r="C19" s="23" t="s">
        <v>36</v>
      </c>
      <c r="D19" s="28"/>
      <c r="E19" s="6" t="s">
        <v>13</v>
      </c>
      <c r="F19" s="7">
        <v>11</v>
      </c>
      <c r="G19" s="7">
        <v>0.5</v>
      </c>
      <c r="H19" s="7">
        <v>11</v>
      </c>
      <c r="I19" s="7">
        <v>0.5</v>
      </c>
      <c r="J19" s="8">
        <v>1</v>
      </c>
    </row>
    <row r="20" spans="2:10" ht="30" hidden="1" customHeight="1" outlineLevel="1" x14ac:dyDescent="0.3">
      <c r="B20" t="s">
        <v>143</v>
      </c>
      <c r="C20" s="23" t="s">
        <v>37</v>
      </c>
      <c r="D20" s="28"/>
      <c r="E20" s="6" t="s">
        <v>13</v>
      </c>
      <c r="F20" s="7">
        <v>12</v>
      </c>
      <c r="G20" s="7">
        <v>2</v>
      </c>
      <c r="H20" s="7">
        <v>12</v>
      </c>
      <c r="I20" s="7">
        <v>2</v>
      </c>
      <c r="J20" s="8">
        <v>1</v>
      </c>
    </row>
    <row r="21" spans="2:10" ht="30" hidden="1" customHeight="1" outlineLevel="1" x14ac:dyDescent="0.3">
      <c r="B21" t="s">
        <v>144</v>
      </c>
      <c r="C21" s="23" t="s">
        <v>38</v>
      </c>
      <c r="D21" s="28"/>
      <c r="E21" s="6" t="s">
        <v>13</v>
      </c>
      <c r="F21" s="7">
        <v>13</v>
      </c>
      <c r="G21" s="7">
        <v>1</v>
      </c>
      <c r="H21" s="7">
        <v>13</v>
      </c>
      <c r="I21" s="7">
        <v>1</v>
      </c>
      <c r="J21" s="8">
        <v>1</v>
      </c>
    </row>
    <row r="22" spans="2:10" ht="30" hidden="1" customHeight="1" outlineLevel="1" x14ac:dyDescent="0.3">
      <c r="B22" t="s">
        <v>145</v>
      </c>
      <c r="C22" s="23" t="s">
        <v>39</v>
      </c>
      <c r="D22" s="28"/>
      <c r="E22" s="6" t="s">
        <v>13</v>
      </c>
      <c r="F22" s="7">
        <v>14</v>
      </c>
      <c r="G22" s="7">
        <v>0.5</v>
      </c>
      <c r="H22" s="7">
        <v>14</v>
      </c>
      <c r="I22" s="7">
        <v>0.5</v>
      </c>
      <c r="J22" s="8">
        <v>1</v>
      </c>
    </row>
    <row r="23" spans="2:10" ht="30" customHeight="1" collapsed="1" x14ac:dyDescent="0.3">
      <c r="B23">
        <v>2</v>
      </c>
      <c r="C23" s="6" t="s">
        <v>9</v>
      </c>
      <c r="D23" s="27">
        <v>1</v>
      </c>
      <c r="E23" s="6" t="s">
        <v>13</v>
      </c>
      <c r="F23" s="7">
        <f>+F5+G5</f>
        <v>15</v>
      </c>
      <c r="G23" s="7">
        <v>14</v>
      </c>
      <c r="H23" s="7">
        <v>15</v>
      </c>
      <c r="I23" s="7">
        <v>14</v>
      </c>
      <c r="J23" s="8">
        <v>1</v>
      </c>
    </row>
    <row r="24" spans="2:10" ht="30" customHeight="1" x14ac:dyDescent="0.3">
      <c r="B24" t="s">
        <v>146</v>
      </c>
      <c r="C24" s="6" t="s">
        <v>32</v>
      </c>
      <c r="D24" s="27">
        <v>1</v>
      </c>
      <c r="E24" s="6" t="s">
        <v>13</v>
      </c>
      <c r="F24" s="7">
        <v>15</v>
      </c>
      <c r="G24" s="7">
        <v>9</v>
      </c>
      <c r="H24" s="7">
        <v>15</v>
      </c>
      <c r="I24" s="7">
        <v>9</v>
      </c>
      <c r="J24" s="8">
        <v>1</v>
      </c>
    </row>
    <row r="25" spans="2:10" ht="30" customHeight="1" x14ac:dyDescent="0.3">
      <c r="B25" t="s">
        <v>147</v>
      </c>
      <c r="C25" s="6" t="s">
        <v>34</v>
      </c>
      <c r="D25" s="27">
        <v>2</v>
      </c>
      <c r="E25" s="6" t="s">
        <v>24</v>
      </c>
      <c r="F25" s="7">
        <v>26</v>
      </c>
      <c r="G25" s="7">
        <v>9</v>
      </c>
      <c r="H25" s="7">
        <v>26</v>
      </c>
      <c r="I25" s="7">
        <v>17</v>
      </c>
      <c r="J25" s="8">
        <v>1</v>
      </c>
    </row>
    <row r="26" spans="2:10" ht="30" hidden="1" customHeight="1" outlineLevel="1" x14ac:dyDescent="0.3">
      <c r="B26" t="s">
        <v>148</v>
      </c>
      <c r="C26" s="23" t="s">
        <v>50</v>
      </c>
      <c r="D26" s="28">
        <v>2</v>
      </c>
      <c r="E26" s="6" t="s">
        <v>24</v>
      </c>
      <c r="F26" s="7">
        <v>26</v>
      </c>
      <c r="G26" s="7">
        <v>0.5</v>
      </c>
      <c r="H26" s="7">
        <v>27</v>
      </c>
      <c r="I26" s="7">
        <v>1</v>
      </c>
      <c r="J26" s="8">
        <v>1</v>
      </c>
    </row>
    <row r="27" spans="2:10" ht="30" hidden="1" customHeight="1" outlineLevel="1" x14ac:dyDescent="0.3">
      <c r="B27" t="s">
        <v>149</v>
      </c>
      <c r="C27" s="23" t="s">
        <v>51</v>
      </c>
      <c r="D27" s="28">
        <v>2</v>
      </c>
      <c r="E27" s="6" t="s">
        <v>24</v>
      </c>
      <c r="F27" s="7">
        <v>27</v>
      </c>
      <c r="G27" s="7">
        <v>0.5</v>
      </c>
      <c r="H27" s="7">
        <v>28</v>
      </c>
      <c r="I27" s="7">
        <v>1</v>
      </c>
      <c r="J27" s="8">
        <v>1</v>
      </c>
    </row>
    <row r="28" spans="2:10" ht="30" hidden="1" customHeight="1" outlineLevel="1" x14ac:dyDescent="0.3">
      <c r="B28" t="s">
        <v>150</v>
      </c>
      <c r="C28" s="23" t="s">
        <v>52</v>
      </c>
      <c r="D28" s="28">
        <v>2</v>
      </c>
      <c r="E28" s="6" t="s">
        <v>24</v>
      </c>
      <c r="F28" s="7">
        <v>28</v>
      </c>
      <c r="G28" s="7">
        <v>1</v>
      </c>
      <c r="H28" s="7">
        <v>29</v>
      </c>
      <c r="I28" s="7">
        <v>2</v>
      </c>
      <c r="J28" s="8">
        <v>1</v>
      </c>
    </row>
    <row r="29" spans="2:10" ht="30" hidden="1" customHeight="1" outlineLevel="1" x14ac:dyDescent="0.3">
      <c r="B29" t="s">
        <v>151</v>
      </c>
      <c r="C29" s="23" t="s">
        <v>53</v>
      </c>
      <c r="D29" s="28">
        <v>2</v>
      </c>
      <c r="E29" s="6" t="s">
        <v>24</v>
      </c>
      <c r="F29" s="7">
        <v>29</v>
      </c>
      <c r="G29" s="7">
        <v>1.5</v>
      </c>
      <c r="H29" s="7">
        <v>31</v>
      </c>
      <c r="I29" s="7">
        <v>3</v>
      </c>
      <c r="J29" s="8">
        <v>1</v>
      </c>
    </row>
    <row r="30" spans="2:10" ht="30" hidden="1" customHeight="1" outlineLevel="1" x14ac:dyDescent="0.3">
      <c r="B30" t="s">
        <v>152</v>
      </c>
      <c r="C30" s="23" t="s">
        <v>54</v>
      </c>
      <c r="D30" s="28">
        <v>2</v>
      </c>
      <c r="E30" s="6" t="s">
        <v>24</v>
      </c>
      <c r="F30" s="7">
        <v>30</v>
      </c>
      <c r="G30" s="7">
        <v>1.5</v>
      </c>
      <c r="H30" s="7">
        <v>34</v>
      </c>
      <c r="I30" s="7">
        <v>3</v>
      </c>
      <c r="J30" s="8">
        <v>1</v>
      </c>
    </row>
    <row r="31" spans="2:10" ht="30" hidden="1" customHeight="1" outlineLevel="1" x14ac:dyDescent="0.3">
      <c r="B31" t="s">
        <v>153</v>
      </c>
      <c r="C31" s="23" t="s">
        <v>55</v>
      </c>
      <c r="D31" s="28">
        <v>2</v>
      </c>
      <c r="E31" s="6" t="s">
        <v>24</v>
      </c>
      <c r="F31" s="7">
        <v>31</v>
      </c>
      <c r="G31" s="7">
        <v>0.5</v>
      </c>
      <c r="H31" s="7">
        <v>37</v>
      </c>
      <c r="I31" s="7">
        <v>1</v>
      </c>
      <c r="J31" s="8">
        <v>1</v>
      </c>
    </row>
    <row r="32" spans="2:10" ht="30" hidden="1" customHeight="1" outlineLevel="1" x14ac:dyDescent="0.3">
      <c r="B32" t="s">
        <v>154</v>
      </c>
      <c r="C32" s="23" t="s">
        <v>56</v>
      </c>
      <c r="D32" s="28">
        <v>2</v>
      </c>
      <c r="E32" s="6" t="s">
        <v>24</v>
      </c>
      <c r="F32" s="7">
        <v>32</v>
      </c>
      <c r="G32" s="7">
        <v>1</v>
      </c>
      <c r="H32" s="7">
        <v>38</v>
      </c>
      <c r="I32" s="7">
        <v>2</v>
      </c>
      <c r="J32" s="8">
        <v>1</v>
      </c>
    </row>
    <row r="33" spans="2:10" ht="30" hidden="1" customHeight="1" outlineLevel="1" x14ac:dyDescent="0.3">
      <c r="B33" t="s">
        <v>155</v>
      </c>
      <c r="C33" s="23" t="s">
        <v>57</v>
      </c>
      <c r="D33" s="28">
        <v>2</v>
      </c>
      <c r="E33" s="6" t="s">
        <v>24</v>
      </c>
      <c r="F33" s="7">
        <v>33</v>
      </c>
      <c r="G33" s="7">
        <v>1.5</v>
      </c>
      <c r="H33" s="7">
        <v>40</v>
      </c>
      <c r="I33" s="7">
        <v>3</v>
      </c>
      <c r="J33" s="8">
        <v>1</v>
      </c>
    </row>
    <row r="34" spans="2:10" ht="30" hidden="1" customHeight="1" outlineLevel="1" x14ac:dyDescent="0.3">
      <c r="B34" t="s">
        <v>156</v>
      </c>
      <c r="C34" s="23" t="s">
        <v>58</v>
      </c>
      <c r="D34" s="28">
        <v>2</v>
      </c>
      <c r="E34" s="6" t="s">
        <v>24</v>
      </c>
      <c r="F34" s="7">
        <v>34</v>
      </c>
      <c r="G34" s="7">
        <v>0.5</v>
      </c>
      <c r="H34" s="7">
        <v>42</v>
      </c>
      <c r="I34" s="7">
        <v>1</v>
      </c>
      <c r="J34" s="8">
        <v>1</v>
      </c>
    </row>
    <row r="35" spans="2:10" ht="30" customHeight="1" collapsed="1" x14ac:dyDescent="0.3">
      <c r="B35" t="s">
        <v>157</v>
      </c>
      <c r="C35" s="6" t="s">
        <v>25</v>
      </c>
      <c r="D35" s="27">
        <v>2</v>
      </c>
      <c r="E35" s="6" t="s">
        <v>26</v>
      </c>
      <c r="F35" s="7">
        <v>26</v>
      </c>
      <c r="G35" s="7">
        <v>14</v>
      </c>
      <c r="H35" s="7">
        <v>26</v>
      </c>
      <c r="I35" s="7">
        <v>14</v>
      </c>
      <c r="J35" s="8">
        <v>1</v>
      </c>
    </row>
    <row r="36" spans="2:10" ht="30" hidden="1" customHeight="1" outlineLevel="1" x14ac:dyDescent="0.3">
      <c r="B36" t="s">
        <v>158</v>
      </c>
      <c r="C36" s="23" t="s">
        <v>85</v>
      </c>
      <c r="D36" s="28">
        <v>2</v>
      </c>
      <c r="E36" s="6" t="s">
        <v>26</v>
      </c>
      <c r="F36" s="7">
        <v>26</v>
      </c>
      <c r="G36" s="7">
        <v>7</v>
      </c>
      <c r="H36" s="7">
        <v>26</v>
      </c>
      <c r="I36" s="7">
        <v>8</v>
      </c>
      <c r="J36" s="8">
        <v>1</v>
      </c>
    </row>
    <row r="37" spans="2:10" ht="30" hidden="1" customHeight="1" outlineLevel="1" x14ac:dyDescent="0.3">
      <c r="B37" t="s">
        <v>159</v>
      </c>
      <c r="C37" s="23" t="s">
        <v>86</v>
      </c>
      <c r="D37" s="28">
        <v>2</v>
      </c>
      <c r="E37" s="6" t="s">
        <v>26</v>
      </c>
      <c r="F37" s="7">
        <v>33</v>
      </c>
      <c r="G37" s="7">
        <v>7</v>
      </c>
      <c r="H37" s="7">
        <v>34</v>
      </c>
      <c r="I37" s="7">
        <v>9</v>
      </c>
      <c r="J37" s="8">
        <v>1</v>
      </c>
    </row>
    <row r="38" spans="2:10" ht="30" customHeight="1" collapsed="1" x14ac:dyDescent="0.3">
      <c r="B38" t="s">
        <v>160</v>
      </c>
      <c r="C38" s="6" t="s">
        <v>29</v>
      </c>
      <c r="D38" s="27">
        <v>2</v>
      </c>
      <c r="E38" s="6" t="s">
        <v>28</v>
      </c>
      <c r="F38" s="7">
        <v>36</v>
      </c>
      <c r="G38" s="7">
        <v>4</v>
      </c>
      <c r="H38" s="7">
        <v>36</v>
      </c>
      <c r="I38" s="7">
        <v>4</v>
      </c>
      <c r="J38" s="8">
        <v>1</v>
      </c>
    </row>
    <row r="39" spans="2:10" ht="30" hidden="1" customHeight="1" outlineLevel="1" x14ac:dyDescent="0.3">
      <c r="B39" t="s">
        <v>161</v>
      </c>
      <c r="C39" s="23" t="s">
        <v>81</v>
      </c>
      <c r="D39" s="28">
        <v>2</v>
      </c>
      <c r="E39" s="6" t="s">
        <v>28</v>
      </c>
      <c r="F39" s="7">
        <v>36</v>
      </c>
      <c r="G39" s="7">
        <v>1</v>
      </c>
      <c r="H39" s="7">
        <v>36</v>
      </c>
      <c r="I39" s="7">
        <v>1</v>
      </c>
      <c r="J39" s="8">
        <v>1</v>
      </c>
    </row>
    <row r="40" spans="2:10" ht="30" hidden="1" customHeight="1" outlineLevel="1" x14ac:dyDescent="0.3">
      <c r="B40" t="s">
        <v>162</v>
      </c>
      <c r="C40" s="23" t="s">
        <v>82</v>
      </c>
      <c r="D40" s="28">
        <v>2</v>
      </c>
      <c r="E40" s="6" t="s">
        <v>28</v>
      </c>
      <c r="F40" s="7">
        <v>37</v>
      </c>
      <c r="G40" s="7">
        <v>1</v>
      </c>
      <c r="H40" s="7">
        <v>37</v>
      </c>
      <c r="I40" s="7">
        <v>1</v>
      </c>
      <c r="J40" s="8">
        <v>1</v>
      </c>
    </row>
    <row r="41" spans="2:10" ht="30" hidden="1" customHeight="1" outlineLevel="1" x14ac:dyDescent="0.3">
      <c r="B41" t="s">
        <v>163</v>
      </c>
      <c r="C41" s="23" t="s">
        <v>83</v>
      </c>
      <c r="D41" s="28">
        <v>2</v>
      </c>
      <c r="E41" s="6" t="s">
        <v>28</v>
      </c>
      <c r="F41" s="7">
        <v>38</v>
      </c>
      <c r="G41" s="7">
        <v>1</v>
      </c>
      <c r="H41" s="7">
        <v>38</v>
      </c>
      <c r="I41" s="7">
        <v>1</v>
      </c>
      <c r="J41" s="8">
        <v>1</v>
      </c>
    </row>
    <row r="42" spans="2:10" ht="30" hidden="1" customHeight="1" outlineLevel="1" x14ac:dyDescent="0.3">
      <c r="B42" t="s">
        <v>164</v>
      </c>
      <c r="C42" s="23" t="s">
        <v>84</v>
      </c>
      <c r="D42" s="28">
        <v>2</v>
      </c>
      <c r="E42" s="6" t="s">
        <v>28</v>
      </c>
      <c r="F42" s="7">
        <v>39</v>
      </c>
      <c r="G42" s="7">
        <v>1</v>
      </c>
      <c r="H42" s="7">
        <v>39</v>
      </c>
      <c r="I42" s="7">
        <v>1</v>
      </c>
      <c r="J42" s="8">
        <v>1</v>
      </c>
    </row>
    <row r="43" spans="2:10" ht="30" customHeight="1" collapsed="1" x14ac:dyDescent="0.3">
      <c r="B43" t="s">
        <v>165</v>
      </c>
      <c r="C43" s="6" t="s">
        <v>30</v>
      </c>
      <c r="D43" s="27">
        <v>2</v>
      </c>
      <c r="E43" s="6" t="s">
        <v>115</v>
      </c>
      <c r="F43" s="7">
        <v>28</v>
      </c>
      <c r="G43" s="7">
        <v>9</v>
      </c>
      <c r="H43" s="7">
        <v>28</v>
      </c>
      <c r="I43" s="7">
        <v>12</v>
      </c>
      <c r="J43" s="8">
        <v>1</v>
      </c>
    </row>
    <row r="44" spans="2:10" ht="30" hidden="1" customHeight="1" outlineLevel="1" x14ac:dyDescent="0.3">
      <c r="B44" t="s">
        <v>166</v>
      </c>
      <c r="C44" s="23" t="s">
        <v>50</v>
      </c>
      <c r="D44" s="28">
        <v>2</v>
      </c>
      <c r="E44" s="6" t="s">
        <v>115</v>
      </c>
      <c r="F44" s="7">
        <v>28</v>
      </c>
      <c r="G44" s="7">
        <v>1</v>
      </c>
      <c r="H44" s="7">
        <v>28</v>
      </c>
      <c r="I44" s="7">
        <v>1</v>
      </c>
      <c r="J44" s="8">
        <v>1</v>
      </c>
    </row>
    <row r="45" spans="2:10" ht="30" hidden="1" customHeight="1" outlineLevel="1" x14ac:dyDescent="0.3">
      <c r="B45" t="s">
        <v>167</v>
      </c>
      <c r="C45" s="23" t="s">
        <v>87</v>
      </c>
      <c r="D45" s="28">
        <v>2</v>
      </c>
      <c r="E45" s="6" t="s">
        <v>115</v>
      </c>
      <c r="F45" s="7">
        <v>29</v>
      </c>
      <c r="G45" s="7">
        <v>1</v>
      </c>
      <c r="H45" s="7">
        <v>29</v>
      </c>
      <c r="I45" s="7">
        <v>2</v>
      </c>
      <c r="J45" s="8">
        <v>1</v>
      </c>
    </row>
    <row r="46" spans="2:10" ht="30" hidden="1" customHeight="1" outlineLevel="1" x14ac:dyDescent="0.3">
      <c r="B46" t="s">
        <v>168</v>
      </c>
      <c r="C46" s="23" t="s">
        <v>88</v>
      </c>
      <c r="D46" s="28">
        <v>2</v>
      </c>
      <c r="E46" s="6" t="s">
        <v>115</v>
      </c>
      <c r="F46" s="7">
        <v>30</v>
      </c>
      <c r="G46" s="7">
        <v>2</v>
      </c>
      <c r="H46" s="7">
        <v>31</v>
      </c>
      <c r="I46" s="7">
        <v>2</v>
      </c>
      <c r="J46" s="8">
        <v>1</v>
      </c>
    </row>
    <row r="47" spans="2:10" ht="30" hidden="1" customHeight="1" outlineLevel="1" x14ac:dyDescent="0.3">
      <c r="B47" t="s">
        <v>169</v>
      </c>
      <c r="C47" s="23" t="s">
        <v>89</v>
      </c>
      <c r="D47" s="28">
        <v>2</v>
      </c>
      <c r="E47" s="6" t="s">
        <v>115</v>
      </c>
      <c r="F47" s="7">
        <v>32</v>
      </c>
      <c r="G47" s="7">
        <v>1</v>
      </c>
      <c r="H47" s="7">
        <v>33</v>
      </c>
      <c r="I47" s="7">
        <v>1</v>
      </c>
      <c r="J47" s="8">
        <v>1</v>
      </c>
    </row>
    <row r="48" spans="2:10" ht="30" hidden="1" customHeight="1" outlineLevel="1" x14ac:dyDescent="0.3">
      <c r="B48" t="s">
        <v>170</v>
      </c>
      <c r="C48" s="23" t="s">
        <v>90</v>
      </c>
      <c r="D48" s="28">
        <v>2</v>
      </c>
      <c r="E48" s="6" t="s">
        <v>115</v>
      </c>
      <c r="F48" s="7">
        <v>33</v>
      </c>
      <c r="G48" s="7">
        <v>1</v>
      </c>
      <c r="H48" s="7">
        <v>34</v>
      </c>
      <c r="I48" s="7">
        <v>2</v>
      </c>
      <c r="J48" s="8">
        <v>1</v>
      </c>
    </row>
    <row r="49" spans="2:10" ht="30" hidden="1" customHeight="1" outlineLevel="1" x14ac:dyDescent="0.3">
      <c r="B49" t="s">
        <v>171</v>
      </c>
      <c r="C49" s="23" t="s">
        <v>91</v>
      </c>
      <c r="D49" s="28">
        <v>2</v>
      </c>
      <c r="E49" s="6" t="s">
        <v>115</v>
      </c>
      <c r="F49" s="7">
        <v>34</v>
      </c>
      <c r="G49" s="7">
        <v>2</v>
      </c>
      <c r="H49" s="7">
        <v>36</v>
      </c>
      <c r="I49" s="7">
        <v>2</v>
      </c>
      <c r="J49" s="8">
        <v>1</v>
      </c>
    </row>
    <row r="50" spans="2:10" ht="30" hidden="1" customHeight="1" outlineLevel="1" x14ac:dyDescent="0.3">
      <c r="B50" t="s">
        <v>172</v>
      </c>
      <c r="C50" s="23" t="s">
        <v>92</v>
      </c>
      <c r="D50" s="28">
        <v>2</v>
      </c>
      <c r="E50" s="6" t="s">
        <v>115</v>
      </c>
      <c r="F50" s="7">
        <v>36</v>
      </c>
      <c r="G50" s="7">
        <v>1</v>
      </c>
      <c r="H50" s="7">
        <v>38</v>
      </c>
      <c r="I50" s="7">
        <v>2</v>
      </c>
      <c r="J50" s="8">
        <v>1</v>
      </c>
    </row>
    <row r="51" spans="2:10" ht="30" customHeight="1" collapsed="1" x14ac:dyDescent="0.3">
      <c r="B51" t="s">
        <v>173</v>
      </c>
      <c r="C51" s="6" t="s">
        <v>31</v>
      </c>
      <c r="D51" s="27">
        <v>2</v>
      </c>
      <c r="E51" s="6" t="s">
        <v>27</v>
      </c>
      <c r="F51" s="7">
        <v>36</v>
      </c>
      <c r="G51" s="7">
        <v>9</v>
      </c>
      <c r="H51" s="7">
        <v>36</v>
      </c>
      <c r="I51" s="7">
        <v>7</v>
      </c>
      <c r="J51" s="8">
        <v>1</v>
      </c>
    </row>
    <row r="52" spans="2:10" ht="30" hidden="1" customHeight="1" outlineLevel="1" x14ac:dyDescent="0.3">
      <c r="B52" t="s">
        <v>174</v>
      </c>
      <c r="C52" s="23" t="s">
        <v>59</v>
      </c>
      <c r="D52" s="28">
        <v>2</v>
      </c>
      <c r="E52" s="6" t="s">
        <v>27</v>
      </c>
      <c r="F52" s="7">
        <v>36</v>
      </c>
      <c r="G52" s="7">
        <v>2</v>
      </c>
      <c r="H52" s="7">
        <v>36</v>
      </c>
      <c r="I52" s="7">
        <v>2</v>
      </c>
      <c r="J52" s="8">
        <v>1</v>
      </c>
    </row>
    <row r="53" spans="2:10" ht="30" hidden="1" customHeight="1" outlineLevel="1" x14ac:dyDescent="0.3">
      <c r="B53" t="s">
        <v>175</v>
      </c>
      <c r="C53" s="23" t="s">
        <v>60</v>
      </c>
      <c r="D53" s="28">
        <v>2</v>
      </c>
      <c r="E53" s="6" t="s">
        <v>27</v>
      </c>
      <c r="F53" s="7">
        <v>38</v>
      </c>
      <c r="G53" s="7">
        <v>1</v>
      </c>
      <c r="H53" s="7">
        <v>38</v>
      </c>
      <c r="I53" s="7">
        <v>1</v>
      </c>
      <c r="J53" s="8">
        <v>1</v>
      </c>
    </row>
    <row r="54" spans="2:10" ht="30" hidden="1" customHeight="1" outlineLevel="1" x14ac:dyDescent="0.3">
      <c r="B54" t="s">
        <v>176</v>
      </c>
      <c r="C54" s="23" t="s">
        <v>61</v>
      </c>
      <c r="D54" s="28">
        <v>2</v>
      </c>
      <c r="E54" s="6" t="s">
        <v>27</v>
      </c>
      <c r="F54" s="7">
        <v>39</v>
      </c>
      <c r="G54" s="7">
        <v>2</v>
      </c>
      <c r="H54" s="7">
        <v>39</v>
      </c>
      <c r="I54" s="7">
        <v>2</v>
      </c>
      <c r="J54" s="8">
        <v>1</v>
      </c>
    </row>
    <row r="55" spans="2:10" ht="30" hidden="1" customHeight="1" outlineLevel="1" x14ac:dyDescent="0.3">
      <c r="B55" t="s">
        <v>177</v>
      </c>
      <c r="C55" s="23" t="s">
        <v>62</v>
      </c>
      <c r="D55" s="28">
        <v>2</v>
      </c>
      <c r="E55" s="6" t="s">
        <v>27</v>
      </c>
      <c r="F55" s="7">
        <v>41</v>
      </c>
      <c r="G55" s="7">
        <v>2</v>
      </c>
      <c r="H55" s="7">
        <v>41</v>
      </c>
      <c r="I55" s="7">
        <v>1</v>
      </c>
      <c r="J55" s="8">
        <v>1</v>
      </c>
    </row>
    <row r="56" spans="2:10" ht="30" hidden="1" customHeight="1" outlineLevel="1" x14ac:dyDescent="0.3">
      <c r="B56" t="s">
        <v>178</v>
      </c>
      <c r="C56" s="23" t="s">
        <v>63</v>
      </c>
      <c r="D56" s="28">
        <v>2</v>
      </c>
      <c r="E56" s="6" t="s">
        <v>27</v>
      </c>
      <c r="F56" s="7">
        <v>43</v>
      </c>
      <c r="G56" s="7">
        <v>2</v>
      </c>
      <c r="H56" s="7">
        <v>42</v>
      </c>
      <c r="I56" s="7">
        <v>1</v>
      </c>
      <c r="J56" s="8">
        <v>1</v>
      </c>
    </row>
    <row r="57" spans="2:10" ht="30" customHeight="1" collapsed="1" x14ac:dyDescent="0.3">
      <c r="B57">
        <v>3</v>
      </c>
      <c r="C57" s="6" t="s">
        <v>10</v>
      </c>
      <c r="D57" s="27">
        <v>2</v>
      </c>
      <c r="E57" s="6" t="s">
        <v>13</v>
      </c>
      <c r="F57" s="7">
        <v>37</v>
      </c>
      <c r="G57" s="7">
        <v>6</v>
      </c>
      <c r="H57" s="7">
        <v>37</v>
      </c>
      <c r="I57" s="7">
        <v>6</v>
      </c>
      <c r="J57" s="8">
        <v>1</v>
      </c>
    </row>
    <row r="58" spans="2:10" ht="30" customHeight="1" x14ac:dyDescent="0.3">
      <c r="B58" t="s">
        <v>179</v>
      </c>
      <c r="C58" s="6" t="s">
        <v>100</v>
      </c>
      <c r="D58" s="27">
        <v>2</v>
      </c>
      <c r="E58" s="6" t="s">
        <v>13</v>
      </c>
      <c r="F58" s="7">
        <v>37</v>
      </c>
      <c r="G58" s="7">
        <v>3</v>
      </c>
      <c r="H58" s="7">
        <v>37</v>
      </c>
      <c r="I58" s="7">
        <v>3</v>
      </c>
      <c r="J58" s="8">
        <v>1</v>
      </c>
    </row>
    <row r="59" spans="2:10" ht="30" hidden="1" customHeight="1" outlineLevel="1" x14ac:dyDescent="0.3">
      <c r="B59" t="s">
        <v>180</v>
      </c>
      <c r="C59" s="23" t="s">
        <v>101</v>
      </c>
      <c r="D59" s="28"/>
      <c r="E59" s="6" t="s">
        <v>13</v>
      </c>
      <c r="F59" s="7">
        <v>37</v>
      </c>
      <c r="G59" s="7">
        <v>3</v>
      </c>
      <c r="H59" s="7">
        <v>37</v>
      </c>
      <c r="I59" s="7">
        <v>3</v>
      </c>
      <c r="J59" s="8">
        <v>1</v>
      </c>
    </row>
    <row r="60" spans="2:10" ht="30" hidden="1" customHeight="1" outlineLevel="1" x14ac:dyDescent="0.3">
      <c r="B60" t="s">
        <v>181</v>
      </c>
      <c r="C60" s="23" t="s">
        <v>102</v>
      </c>
      <c r="D60" s="28"/>
      <c r="E60" s="6" t="s">
        <v>13</v>
      </c>
      <c r="F60" s="7">
        <v>37</v>
      </c>
      <c r="G60" s="7">
        <v>3</v>
      </c>
      <c r="H60" s="7">
        <v>37</v>
      </c>
      <c r="I60" s="7">
        <v>3</v>
      </c>
      <c r="J60" s="8">
        <v>1</v>
      </c>
    </row>
    <row r="61" spans="2:10" ht="30" hidden="1" customHeight="1" outlineLevel="1" x14ac:dyDescent="0.3">
      <c r="B61" t="s">
        <v>182</v>
      </c>
      <c r="C61" s="23" t="s">
        <v>103</v>
      </c>
      <c r="D61" s="28"/>
      <c r="E61" s="6" t="s">
        <v>13</v>
      </c>
      <c r="F61" s="7">
        <v>37</v>
      </c>
      <c r="G61" s="7">
        <v>3</v>
      </c>
      <c r="H61" s="7">
        <v>37</v>
      </c>
      <c r="I61" s="7">
        <v>3</v>
      </c>
      <c r="J61" s="8">
        <v>1</v>
      </c>
    </row>
    <row r="62" spans="2:10" ht="30" hidden="1" customHeight="1" outlineLevel="1" x14ac:dyDescent="0.3">
      <c r="B62" t="s">
        <v>183</v>
      </c>
      <c r="C62" s="23" t="s">
        <v>104</v>
      </c>
      <c r="D62" s="28"/>
      <c r="E62" s="6" t="s">
        <v>13</v>
      </c>
      <c r="F62" s="7">
        <v>37</v>
      </c>
      <c r="G62" s="7">
        <v>3</v>
      </c>
      <c r="H62" s="7">
        <v>37</v>
      </c>
      <c r="I62" s="7">
        <v>3</v>
      </c>
      <c r="J62" s="8">
        <v>1</v>
      </c>
    </row>
    <row r="63" spans="2:10" ht="30" hidden="1" customHeight="1" outlineLevel="1" x14ac:dyDescent="0.3">
      <c r="B63" t="s">
        <v>184</v>
      </c>
      <c r="C63" s="23" t="s">
        <v>105</v>
      </c>
      <c r="D63" s="28"/>
      <c r="E63" s="6" t="s">
        <v>13</v>
      </c>
      <c r="F63" s="7">
        <v>37</v>
      </c>
      <c r="G63" s="7">
        <v>3</v>
      </c>
      <c r="H63" s="7">
        <v>37</v>
      </c>
      <c r="I63" s="7">
        <v>3</v>
      </c>
      <c r="J63" s="8">
        <v>1</v>
      </c>
    </row>
    <row r="64" spans="2:10" ht="30" customHeight="1" collapsed="1" x14ac:dyDescent="0.3">
      <c r="B64" t="s">
        <v>185</v>
      </c>
      <c r="C64" s="6" t="s">
        <v>106</v>
      </c>
      <c r="D64" s="27">
        <v>2</v>
      </c>
      <c r="E64" s="6" t="s">
        <v>13</v>
      </c>
      <c r="F64" s="7">
        <v>40</v>
      </c>
      <c r="G64" s="7">
        <v>3</v>
      </c>
      <c r="H64" s="7">
        <v>40</v>
      </c>
      <c r="I64" s="7">
        <v>3</v>
      </c>
      <c r="J64" s="8">
        <v>1</v>
      </c>
    </row>
    <row r="65" spans="2:10" ht="30" hidden="1" customHeight="1" outlineLevel="1" x14ac:dyDescent="0.3">
      <c r="B65" t="s">
        <v>186</v>
      </c>
      <c r="C65" s="23" t="s">
        <v>101</v>
      </c>
      <c r="D65" s="28"/>
      <c r="E65" s="6" t="s">
        <v>13</v>
      </c>
      <c r="F65" s="7">
        <v>40</v>
      </c>
      <c r="G65" s="7">
        <v>3</v>
      </c>
      <c r="H65" s="7">
        <v>40</v>
      </c>
      <c r="I65" s="7">
        <v>3</v>
      </c>
      <c r="J65" s="8">
        <v>1</v>
      </c>
    </row>
    <row r="66" spans="2:10" ht="30" hidden="1" customHeight="1" outlineLevel="1" x14ac:dyDescent="0.3">
      <c r="B66" t="s">
        <v>187</v>
      </c>
      <c r="C66" s="23" t="s">
        <v>102</v>
      </c>
      <c r="D66" s="28"/>
      <c r="E66" s="6" t="s">
        <v>13</v>
      </c>
      <c r="F66" s="7">
        <v>40</v>
      </c>
      <c r="G66" s="7">
        <v>3</v>
      </c>
      <c r="H66" s="7">
        <v>40</v>
      </c>
      <c r="I66" s="7">
        <v>3</v>
      </c>
      <c r="J66" s="8">
        <v>1</v>
      </c>
    </row>
    <row r="67" spans="2:10" ht="30" hidden="1" customHeight="1" outlineLevel="1" x14ac:dyDescent="0.3">
      <c r="B67" t="s">
        <v>188</v>
      </c>
      <c r="C67" s="23" t="s">
        <v>103</v>
      </c>
      <c r="D67" s="28"/>
      <c r="E67" s="6" t="s">
        <v>13</v>
      </c>
      <c r="F67" s="7">
        <v>40</v>
      </c>
      <c r="G67" s="7">
        <v>3</v>
      </c>
      <c r="H67" s="7">
        <v>40</v>
      </c>
      <c r="I67" s="7">
        <v>3</v>
      </c>
      <c r="J67" s="8">
        <v>1</v>
      </c>
    </row>
    <row r="68" spans="2:10" ht="30" hidden="1" customHeight="1" outlineLevel="1" x14ac:dyDescent="0.3">
      <c r="B68" t="s">
        <v>189</v>
      </c>
      <c r="C68" s="23" t="s">
        <v>104</v>
      </c>
      <c r="D68" s="28"/>
      <c r="E68" s="6" t="s">
        <v>13</v>
      </c>
      <c r="F68" s="7">
        <v>40</v>
      </c>
      <c r="G68" s="7">
        <v>3</v>
      </c>
      <c r="H68" s="7">
        <v>40</v>
      </c>
      <c r="I68" s="7">
        <v>3</v>
      </c>
      <c r="J68" s="8">
        <v>1</v>
      </c>
    </row>
    <row r="69" spans="2:10" ht="30" hidden="1" customHeight="1" outlineLevel="1" x14ac:dyDescent="0.3">
      <c r="B69" t="s">
        <v>190</v>
      </c>
      <c r="C69" s="23" t="s">
        <v>105</v>
      </c>
      <c r="D69" s="28"/>
      <c r="E69" s="6" t="s">
        <v>13</v>
      </c>
      <c r="F69" s="7">
        <v>40</v>
      </c>
      <c r="G69" s="7">
        <v>3</v>
      </c>
      <c r="H69" s="7">
        <v>40</v>
      </c>
      <c r="I69" s="7">
        <v>3</v>
      </c>
      <c r="J69" s="8">
        <v>1</v>
      </c>
    </row>
    <row r="70" spans="2:10" ht="30" customHeight="1" collapsed="1" x14ac:dyDescent="0.3">
      <c r="B70">
        <v>4</v>
      </c>
      <c r="C70" s="6" t="s">
        <v>33</v>
      </c>
      <c r="D70" s="27">
        <v>3</v>
      </c>
      <c r="E70" s="6" t="s">
        <v>13</v>
      </c>
      <c r="F70" s="7">
        <v>39</v>
      </c>
      <c r="G70" s="7">
        <v>46</v>
      </c>
      <c r="H70" s="7">
        <v>39</v>
      </c>
      <c r="I70" s="7"/>
      <c r="J70" s="8">
        <v>0.3</v>
      </c>
    </row>
    <row r="71" spans="2:10" ht="30" customHeight="1" x14ac:dyDescent="0.3">
      <c r="B71" t="s">
        <v>191</v>
      </c>
      <c r="C71" s="6" t="s">
        <v>94</v>
      </c>
      <c r="D71" s="27">
        <v>3</v>
      </c>
      <c r="E71" s="6" t="s">
        <v>95</v>
      </c>
      <c r="F71" s="7">
        <v>39</v>
      </c>
      <c r="G71" s="7">
        <v>7</v>
      </c>
      <c r="H71" s="7">
        <v>39</v>
      </c>
      <c r="I71" s="7"/>
      <c r="J71" s="8">
        <v>0.5</v>
      </c>
    </row>
    <row r="72" spans="2:10" ht="30" hidden="1" customHeight="1" outlineLevel="1" x14ac:dyDescent="0.3">
      <c r="B72" t="s">
        <v>192</v>
      </c>
      <c r="C72" s="23" t="s">
        <v>107</v>
      </c>
      <c r="D72" s="28">
        <v>3</v>
      </c>
      <c r="E72" s="6" t="s">
        <v>95</v>
      </c>
      <c r="F72" s="7">
        <v>39</v>
      </c>
      <c r="G72" s="7">
        <v>0.5</v>
      </c>
      <c r="H72" s="7">
        <v>39</v>
      </c>
      <c r="I72" s="7"/>
      <c r="J72" s="8">
        <v>0</v>
      </c>
    </row>
    <row r="73" spans="2:10" ht="30" hidden="1" customHeight="1" outlineLevel="1" x14ac:dyDescent="0.3">
      <c r="B73" t="s">
        <v>193</v>
      </c>
      <c r="C73" s="23" t="s">
        <v>108</v>
      </c>
      <c r="D73" s="28">
        <v>3</v>
      </c>
      <c r="E73" s="6" t="s">
        <v>95</v>
      </c>
      <c r="F73" s="7">
        <v>39</v>
      </c>
      <c r="G73" s="7">
        <v>0.5</v>
      </c>
      <c r="H73" s="7">
        <v>39</v>
      </c>
      <c r="I73" s="7"/>
      <c r="J73" s="8">
        <v>0</v>
      </c>
    </row>
    <row r="74" spans="2:10" ht="30" hidden="1" customHeight="1" outlineLevel="1" x14ac:dyDescent="0.3">
      <c r="B74" t="s">
        <v>194</v>
      </c>
      <c r="C74" s="23" t="s">
        <v>109</v>
      </c>
      <c r="D74" s="28">
        <v>3</v>
      </c>
      <c r="E74" s="6" t="s">
        <v>95</v>
      </c>
      <c r="F74" s="7">
        <v>40</v>
      </c>
      <c r="G74" s="7">
        <v>1</v>
      </c>
      <c r="H74" s="7">
        <v>40</v>
      </c>
      <c r="I74" s="7"/>
      <c r="J74" s="8">
        <v>0</v>
      </c>
    </row>
    <row r="75" spans="2:10" ht="30" hidden="1" customHeight="1" outlineLevel="1" x14ac:dyDescent="0.3">
      <c r="B75" t="s">
        <v>230</v>
      </c>
      <c r="C75" s="23" t="s">
        <v>110</v>
      </c>
      <c r="D75" s="28">
        <v>3</v>
      </c>
      <c r="E75" s="6" t="s">
        <v>95</v>
      </c>
      <c r="F75" s="7">
        <v>41</v>
      </c>
      <c r="G75" s="7">
        <v>1</v>
      </c>
      <c r="H75" s="7">
        <v>41</v>
      </c>
      <c r="I75" s="7"/>
      <c r="J75" s="8">
        <v>0</v>
      </c>
    </row>
    <row r="76" spans="2:10" ht="30" hidden="1" customHeight="1" outlineLevel="1" x14ac:dyDescent="0.3">
      <c r="B76" t="s">
        <v>231</v>
      </c>
      <c r="C76" s="23" t="s">
        <v>111</v>
      </c>
      <c r="D76" s="28">
        <v>3</v>
      </c>
      <c r="E76" s="6" t="s">
        <v>95</v>
      </c>
      <c r="F76" s="7">
        <v>42</v>
      </c>
      <c r="G76" s="7">
        <v>2</v>
      </c>
      <c r="H76" s="7">
        <v>42</v>
      </c>
      <c r="I76" s="7"/>
      <c r="J76" s="8">
        <v>0</v>
      </c>
    </row>
    <row r="77" spans="2:10" ht="30" hidden="1" customHeight="1" outlineLevel="1" x14ac:dyDescent="0.3">
      <c r="B77" t="s">
        <v>232</v>
      </c>
      <c r="C77" s="23" t="s">
        <v>112</v>
      </c>
      <c r="D77" s="28">
        <v>3</v>
      </c>
      <c r="E77" s="6" t="s">
        <v>95</v>
      </c>
      <c r="F77" s="7">
        <v>44</v>
      </c>
      <c r="G77" s="7">
        <v>2</v>
      </c>
      <c r="H77" s="7">
        <v>44</v>
      </c>
      <c r="I77" s="7"/>
      <c r="J77" s="8">
        <v>0</v>
      </c>
    </row>
    <row r="78" spans="2:10" ht="30" customHeight="1" collapsed="1" x14ac:dyDescent="0.3">
      <c r="B78" t="s">
        <v>195</v>
      </c>
      <c r="C78" s="6" t="s">
        <v>97</v>
      </c>
      <c r="D78" s="27">
        <v>3</v>
      </c>
      <c r="E78" s="6" t="s">
        <v>26</v>
      </c>
      <c r="F78" s="7">
        <v>41</v>
      </c>
      <c r="G78" s="7">
        <v>5</v>
      </c>
      <c r="H78" s="7">
        <v>41</v>
      </c>
      <c r="I78" s="7">
        <v>5</v>
      </c>
      <c r="J78" s="8">
        <v>1</v>
      </c>
    </row>
    <row r="79" spans="2:10" ht="30" customHeight="1" x14ac:dyDescent="0.3">
      <c r="B79" t="s">
        <v>196</v>
      </c>
      <c r="C79" s="6" t="s">
        <v>98</v>
      </c>
      <c r="D79" s="27">
        <v>3</v>
      </c>
      <c r="E79" s="6" t="s">
        <v>28</v>
      </c>
      <c r="F79" s="7">
        <v>41</v>
      </c>
      <c r="G79" s="7">
        <v>6</v>
      </c>
      <c r="H79" s="7">
        <v>41</v>
      </c>
      <c r="I79" s="7">
        <v>6</v>
      </c>
      <c r="J79" s="8">
        <v>1</v>
      </c>
    </row>
    <row r="80" spans="2:10" ht="30" customHeight="1" x14ac:dyDescent="0.3">
      <c r="B80" t="s">
        <v>197</v>
      </c>
      <c r="C80" s="6" t="s">
        <v>99</v>
      </c>
      <c r="D80" s="27">
        <v>3</v>
      </c>
      <c r="E80" s="6" t="s">
        <v>27</v>
      </c>
      <c r="F80" s="7">
        <v>45</v>
      </c>
      <c r="G80" s="7">
        <v>4</v>
      </c>
      <c r="H80" s="7">
        <v>45</v>
      </c>
      <c r="I80" s="7"/>
      <c r="J80" s="8">
        <v>0</v>
      </c>
    </row>
    <row r="81" spans="2:10" ht="30" hidden="1" customHeight="1" outlineLevel="1" x14ac:dyDescent="0.3">
      <c r="B81" t="s">
        <v>233</v>
      </c>
      <c r="C81" s="23" t="s">
        <v>122</v>
      </c>
      <c r="D81" s="27">
        <v>3</v>
      </c>
      <c r="E81" s="6" t="s">
        <v>27</v>
      </c>
      <c r="F81" s="7">
        <v>45</v>
      </c>
      <c r="G81" s="7">
        <v>1</v>
      </c>
      <c r="H81" s="7">
        <v>45</v>
      </c>
      <c r="I81" s="7"/>
      <c r="J81" s="8">
        <v>0</v>
      </c>
    </row>
    <row r="82" spans="2:10" ht="30" hidden="1" customHeight="1" outlineLevel="1" x14ac:dyDescent="0.3">
      <c r="B82" t="s">
        <v>234</v>
      </c>
      <c r="C82" s="23" t="s">
        <v>123</v>
      </c>
      <c r="D82" s="27">
        <v>3</v>
      </c>
      <c r="E82" s="6" t="s">
        <v>27</v>
      </c>
      <c r="F82" s="7">
        <v>46</v>
      </c>
      <c r="G82" s="7">
        <v>1</v>
      </c>
      <c r="H82" s="7">
        <v>46</v>
      </c>
      <c r="I82" s="7"/>
      <c r="J82" s="8">
        <v>0</v>
      </c>
    </row>
    <row r="83" spans="2:10" ht="30" hidden="1" customHeight="1" outlineLevel="1" x14ac:dyDescent="0.3">
      <c r="B83" t="s">
        <v>235</v>
      </c>
      <c r="C83" s="23" t="s">
        <v>124</v>
      </c>
      <c r="D83" s="27">
        <v>3</v>
      </c>
      <c r="E83" s="6" t="s">
        <v>27</v>
      </c>
      <c r="F83" s="7">
        <v>47</v>
      </c>
      <c r="G83" s="7">
        <v>2</v>
      </c>
      <c r="H83" s="7">
        <v>47</v>
      </c>
      <c r="I83" s="7"/>
      <c r="J83" s="8">
        <v>0</v>
      </c>
    </row>
    <row r="84" spans="2:10" ht="30" customHeight="1" collapsed="1" x14ac:dyDescent="0.3">
      <c r="B84" t="s">
        <v>198</v>
      </c>
      <c r="C84" s="6" t="s">
        <v>113</v>
      </c>
      <c r="D84" s="27">
        <v>3</v>
      </c>
      <c r="E84" s="6" t="s">
        <v>27</v>
      </c>
      <c r="F84" s="7">
        <v>47</v>
      </c>
      <c r="G84" s="7">
        <v>16</v>
      </c>
      <c r="H84" s="7">
        <v>47</v>
      </c>
      <c r="I84" s="7"/>
      <c r="J84" s="8">
        <v>0</v>
      </c>
    </row>
    <row r="85" spans="2:10" ht="30" customHeight="1" x14ac:dyDescent="0.3">
      <c r="B85" t="s">
        <v>199</v>
      </c>
      <c r="C85" s="6" t="s">
        <v>125</v>
      </c>
      <c r="D85" s="27">
        <v>3</v>
      </c>
      <c r="E85" s="6" t="s">
        <v>127</v>
      </c>
      <c r="F85" s="7">
        <v>57</v>
      </c>
      <c r="G85" s="7">
        <v>3</v>
      </c>
      <c r="H85" s="7">
        <v>57</v>
      </c>
      <c r="I85" s="7">
        <v>3</v>
      </c>
      <c r="J85" s="8">
        <v>1</v>
      </c>
    </row>
    <row r="86" spans="2:10" ht="30" customHeight="1" x14ac:dyDescent="0.3">
      <c r="B86" t="s">
        <v>200</v>
      </c>
      <c r="C86" s="6" t="s">
        <v>126</v>
      </c>
      <c r="D86" s="27">
        <v>3</v>
      </c>
      <c r="E86" s="6" t="s">
        <v>26</v>
      </c>
      <c r="F86" s="7">
        <v>57</v>
      </c>
      <c r="G86" s="7">
        <v>3</v>
      </c>
      <c r="H86" s="7">
        <v>57</v>
      </c>
      <c r="I86" s="7">
        <v>3</v>
      </c>
      <c r="J86" s="8">
        <v>1</v>
      </c>
    </row>
    <row r="87" spans="2:10" ht="30" customHeight="1" collapsed="1" x14ac:dyDescent="0.3">
      <c r="B87" t="s">
        <v>201</v>
      </c>
      <c r="C87" s="6" t="s">
        <v>208</v>
      </c>
      <c r="D87" s="27">
        <v>3</v>
      </c>
      <c r="E87" s="6" t="s">
        <v>24</v>
      </c>
      <c r="F87" s="7">
        <v>63</v>
      </c>
      <c r="G87" s="7">
        <v>1</v>
      </c>
      <c r="H87" s="7">
        <v>63</v>
      </c>
      <c r="I87" s="7"/>
      <c r="J87" s="8">
        <v>0</v>
      </c>
    </row>
    <row r="88" spans="2:10" ht="30" customHeight="1" x14ac:dyDescent="0.3">
      <c r="B88" t="s">
        <v>202</v>
      </c>
      <c r="C88" s="6" t="s">
        <v>209</v>
      </c>
      <c r="D88" s="27">
        <v>4</v>
      </c>
      <c r="E88" s="6" t="s">
        <v>26</v>
      </c>
      <c r="F88" s="7">
        <v>58</v>
      </c>
      <c r="G88" s="7">
        <v>15</v>
      </c>
      <c r="H88" s="7">
        <v>58</v>
      </c>
      <c r="I88" s="7"/>
      <c r="J88" s="8">
        <v>0</v>
      </c>
    </row>
    <row r="89" spans="2:10" ht="30" hidden="1" customHeight="1" outlineLevel="1" x14ac:dyDescent="0.3">
      <c r="B89" t="s">
        <v>236</v>
      </c>
      <c r="C89" s="23" t="s">
        <v>210</v>
      </c>
      <c r="D89" s="27">
        <v>4</v>
      </c>
      <c r="E89" s="6" t="s">
        <v>26</v>
      </c>
      <c r="F89" s="7">
        <v>58</v>
      </c>
      <c r="G89" s="7">
        <v>4</v>
      </c>
      <c r="H89" s="7">
        <v>58</v>
      </c>
      <c r="I89" s="7"/>
      <c r="J89" s="8">
        <v>0</v>
      </c>
    </row>
    <row r="90" spans="2:10" ht="30" hidden="1" customHeight="1" outlineLevel="1" x14ac:dyDescent="0.3">
      <c r="B90" t="s">
        <v>237</v>
      </c>
      <c r="C90" s="23" t="s">
        <v>211</v>
      </c>
      <c r="D90" s="27">
        <v>4</v>
      </c>
      <c r="E90" s="6" t="s">
        <v>26</v>
      </c>
      <c r="F90" s="7">
        <v>62</v>
      </c>
      <c r="G90" s="7">
        <v>3</v>
      </c>
      <c r="H90" s="7">
        <v>62</v>
      </c>
      <c r="I90" s="7"/>
      <c r="J90" s="8">
        <v>0</v>
      </c>
    </row>
    <row r="91" spans="2:10" ht="30" hidden="1" customHeight="1" outlineLevel="1" x14ac:dyDescent="0.3">
      <c r="B91" t="s">
        <v>238</v>
      </c>
      <c r="C91" s="23" t="s">
        <v>212</v>
      </c>
      <c r="D91" s="27">
        <v>4</v>
      </c>
      <c r="E91" s="6" t="s">
        <v>26</v>
      </c>
      <c r="F91" s="7">
        <v>65</v>
      </c>
      <c r="G91" s="7">
        <v>2</v>
      </c>
      <c r="H91" s="7">
        <v>65</v>
      </c>
      <c r="I91" s="7"/>
      <c r="J91" s="8">
        <v>0</v>
      </c>
    </row>
    <row r="92" spans="2:10" ht="30" hidden="1" customHeight="1" outlineLevel="1" x14ac:dyDescent="0.3">
      <c r="B92" t="s">
        <v>239</v>
      </c>
      <c r="C92" s="23" t="s">
        <v>213</v>
      </c>
      <c r="D92" s="27">
        <v>4</v>
      </c>
      <c r="E92" s="6" t="s">
        <v>26</v>
      </c>
      <c r="F92" s="7">
        <v>67</v>
      </c>
      <c r="G92" s="7">
        <v>3</v>
      </c>
      <c r="H92" s="7">
        <v>67</v>
      </c>
      <c r="I92" s="7"/>
      <c r="J92" s="8">
        <v>0</v>
      </c>
    </row>
    <row r="93" spans="2:10" ht="30" hidden="1" customHeight="1" outlineLevel="1" x14ac:dyDescent="0.3">
      <c r="B93" t="s">
        <v>240</v>
      </c>
      <c r="C93" s="23" t="s">
        <v>214</v>
      </c>
      <c r="D93" s="27">
        <v>4</v>
      </c>
      <c r="E93" s="6" t="s">
        <v>26</v>
      </c>
      <c r="F93" s="7">
        <v>70</v>
      </c>
      <c r="G93" s="7">
        <v>3</v>
      </c>
      <c r="H93" s="7"/>
      <c r="I93" s="7"/>
      <c r="J93" s="8">
        <v>0</v>
      </c>
    </row>
    <row r="94" spans="2:10" ht="30" customHeight="1" collapsed="1" x14ac:dyDescent="0.3">
      <c r="B94" t="s">
        <v>128</v>
      </c>
      <c r="C94" s="6" t="s">
        <v>93</v>
      </c>
      <c r="D94" s="27">
        <v>4</v>
      </c>
      <c r="E94" s="6" t="s">
        <v>26</v>
      </c>
      <c r="F94" s="7">
        <v>61</v>
      </c>
      <c r="G94" s="7">
        <v>10</v>
      </c>
      <c r="H94" s="7">
        <v>61</v>
      </c>
      <c r="I94" s="7"/>
      <c r="J94" s="8">
        <v>0.5</v>
      </c>
    </row>
    <row r="95" spans="2:10" ht="30" hidden="1" customHeight="1" outlineLevel="1" x14ac:dyDescent="0.3">
      <c r="B95" t="s">
        <v>215</v>
      </c>
      <c r="C95" s="6" t="s">
        <v>64</v>
      </c>
      <c r="D95" s="27">
        <v>4</v>
      </c>
      <c r="E95" s="6" t="s">
        <v>26</v>
      </c>
      <c r="F95" s="7">
        <v>61</v>
      </c>
      <c r="G95" s="7">
        <v>5</v>
      </c>
      <c r="H95" s="7">
        <v>61</v>
      </c>
      <c r="I95" s="7">
        <v>5</v>
      </c>
      <c r="J95" s="8">
        <v>1</v>
      </c>
    </row>
    <row r="96" spans="2:10" ht="30" hidden="1" customHeight="1" outlineLevel="2" x14ac:dyDescent="0.3">
      <c r="C96" s="23" t="s">
        <v>67</v>
      </c>
      <c r="D96" s="28">
        <v>4</v>
      </c>
      <c r="E96" s="6" t="s">
        <v>26</v>
      </c>
      <c r="F96" s="7">
        <v>61</v>
      </c>
      <c r="G96" s="7">
        <v>1</v>
      </c>
      <c r="H96" s="7">
        <v>61</v>
      </c>
      <c r="I96" s="7">
        <v>1</v>
      </c>
      <c r="J96" s="8">
        <v>1</v>
      </c>
    </row>
    <row r="97" spans="2:10" ht="30" hidden="1" customHeight="1" outlineLevel="2" x14ac:dyDescent="0.3">
      <c r="C97" s="23" t="s">
        <v>68</v>
      </c>
      <c r="D97" s="28">
        <v>4</v>
      </c>
      <c r="E97" s="6" t="s">
        <v>26</v>
      </c>
      <c r="F97" s="7">
        <v>62</v>
      </c>
      <c r="G97" s="7">
        <v>0.5</v>
      </c>
      <c r="H97" s="7">
        <v>62</v>
      </c>
      <c r="I97" s="7">
        <v>0.5</v>
      </c>
      <c r="J97" s="8">
        <v>1</v>
      </c>
    </row>
    <row r="98" spans="2:10" ht="30" hidden="1" customHeight="1" outlineLevel="2" x14ac:dyDescent="0.3">
      <c r="C98" s="23" t="s">
        <v>69</v>
      </c>
      <c r="D98" s="28">
        <v>4</v>
      </c>
      <c r="E98" s="6" t="s">
        <v>26</v>
      </c>
      <c r="F98" s="7">
        <v>62</v>
      </c>
      <c r="G98" s="7">
        <v>1</v>
      </c>
      <c r="H98" s="7">
        <v>62</v>
      </c>
      <c r="I98" s="7">
        <v>1</v>
      </c>
      <c r="J98" s="8">
        <v>1</v>
      </c>
    </row>
    <row r="99" spans="2:10" ht="30" hidden="1" customHeight="1" outlineLevel="2" x14ac:dyDescent="0.3">
      <c r="C99" s="23" t="s">
        <v>70</v>
      </c>
      <c r="D99" s="28">
        <v>4</v>
      </c>
      <c r="E99" s="6" t="s">
        <v>26</v>
      </c>
      <c r="F99" s="7">
        <v>63</v>
      </c>
      <c r="G99" s="7">
        <v>1</v>
      </c>
      <c r="H99" s="7">
        <v>63</v>
      </c>
      <c r="I99" s="7">
        <v>1</v>
      </c>
      <c r="J99" s="8">
        <v>1</v>
      </c>
    </row>
    <row r="100" spans="2:10" ht="30" hidden="1" customHeight="1" outlineLevel="2" x14ac:dyDescent="0.3">
      <c r="C100" s="23" t="s">
        <v>71</v>
      </c>
      <c r="D100" s="28">
        <v>4</v>
      </c>
      <c r="E100" s="6" t="s">
        <v>26</v>
      </c>
      <c r="F100" s="7">
        <v>64</v>
      </c>
      <c r="G100" s="7">
        <v>0.5</v>
      </c>
      <c r="H100" s="7">
        <v>64</v>
      </c>
      <c r="I100" s="7">
        <v>0.5</v>
      </c>
      <c r="J100" s="8">
        <v>1</v>
      </c>
    </row>
    <row r="101" spans="2:10" ht="30" hidden="1" customHeight="1" outlineLevel="2" x14ac:dyDescent="0.3">
      <c r="C101" s="23" t="s">
        <v>72</v>
      </c>
      <c r="D101" s="28">
        <v>4</v>
      </c>
      <c r="E101" s="6" t="s">
        <v>26</v>
      </c>
      <c r="F101" s="7">
        <v>65</v>
      </c>
      <c r="G101" s="7">
        <v>1</v>
      </c>
      <c r="H101" s="7">
        <v>65</v>
      </c>
      <c r="I101" s="7">
        <v>1</v>
      </c>
      <c r="J101" s="8">
        <v>1</v>
      </c>
    </row>
    <row r="102" spans="2:10" ht="30" hidden="1" customHeight="1" outlineLevel="1" collapsed="1" x14ac:dyDescent="0.3">
      <c r="B102" t="s">
        <v>216</v>
      </c>
      <c r="C102" s="6" t="s">
        <v>65</v>
      </c>
      <c r="D102" s="27">
        <v>4</v>
      </c>
      <c r="E102" s="6" t="s">
        <v>26</v>
      </c>
      <c r="F102" s="7">
        <v>66</v>
      </c>
      <c r="G102" s="7">
        <v>3</v>
      </c>
      <c r="H102" s="7">
        <v>66</v>
      </c>
      <c r="I102" s="7"/>
      <c r="J102" s="8">
        <v>0</v>
      </c>
    </row>
    <row r="103" spans="2:10" ht="30" hidden="1" customHeight="1" outlineLevel="2" x14ac:dyDescent="0.3">
      <c r="C103" s="23" t="s">
        <v>73</v>
      </c>
      <c r="D103" s="28">
        <v>4</v>
      </c>
      <c r="E103" s="6" t="s">
        <v>26</v>
      </c>
      <c r="F103" s="7">
        <v>66</v>
      </c>
      <c r="G103" s="7">
        <v>0.5</v>
      </c>
      <c r="H103" s="7">
        <v>66</v>
      </c>
      <c r="I103" s="7"/>
      <c r="J103" s="8">
        <v>0</v>
      </c>
    </row>
    <row r="104" spans="2:10" ht="30" hidden="1" customHeight="1" outlineLevel="2" x14ac:dyDescent="0.3">
      <c r="C104" s="23" t="s">
        <v>74</v>
      </c>
      <c r="D104" s="28">
        <v>4</v>
      </c>
      <c r="E104" s="6" t="s">
        <v>26</v>
      </c>
      <c r="F104" s="7">
        <v>66</v>
      </c>
      <c r="G104" s="7">
        <v>1</v>
      </c>
      <c r="H104" s="7">
        <v>66</v>
      </c>
      <c r="I104" s="7"/>
      <c r="J104" s="8">
        <v>0</v>
      </c>
    </row>
    <row r="105" spans="2:10" ht="30" hidden="1" customHeight="1" outlineLevel="2" x14ac:dyDescent="0.3">
      <c r="C105" s="23" t="s">
        <v>75</v>
      </c>
      <c r="D105" s="28">
        <v>4</v>
      </c>
      <c r="E105" s="6" t="s">
        <v>26</v>
      </c>
      <c r="F105" s="7">
        <v>67</v>
      </c>
      <c r="G105" s="7">
        <v>0.5</v>
      </c>
      <c r="H105" s="7">
        <v>67</v>
      </c>
      <c r="I105" s="7"/>
      <c r="J105" s="8">
        <v>0</v>
      </c>
    </row>
    <row r="106" spans="2:10" ht="30" hidden="1" customHeight="1" outlineLevel="2" x14ac:dyDescent="0.3">
      <c r="C106" s="23" t="s">
        <v>76</v>
      </c>
      <c r="D106" s="28">
        <v>4</v>
      </c>
      <c r="E106" s="6" t="s">
        <v>26</v>
      </c>
      <c r="F106" s="7">
        <v>67</v>
      </c>
      <c r="G106" s="7">
        <v>0.5</v>
      </c>
      <c r="H106" s="7">
        <v>67</v>
      </c>
      <c r="I106" s="7"/>
      <c r="J106" s="8">
        <v>0</v>
      </c>
    </row>
    <row r="107" spans="2:10" ht="30" hidden="1" customHeight="1" outlineLevel="2" x14ac:dyDescent="0.3">
      <c r="C107" s="23" t="s">
        <v>77</v>
      </c>
      <c r="D107" s="28">
        <v>4</v>
      </c>
      <c r="E107" s="6" t="s">
        <v>26</v>
      </c>
      <c r="F107" s="7">
        <v>68</v>
      </c>
      <c r="G107" s="7">
        <v>0.5</v>
      </c>
      <c r="H107" s="7"/>
      <c r="I107" s="7"/>
      <c r="J107" s="8">
        <v>0</v>
      </c>
    </row>
    <row r="108" spans="2:10" ht="30" hidden="1" customHeight="1" outlineLevel="1" collapsed="1" x14ac:dyDescent="0.3">
      <c r="B108" t="s">
        <v>217</v>
      </c>
      <c r="C108" s="6" t="s">
        <v>66</v>
      </c>
      <c r="D108" s="27">
        <v>4</v>
      </c>
      <c r="E108" s="6" t="s">
        <v>26</v>
      </c>
      <c r="F108" s="7">
        <v>69</v>
      </c>
      <c r="G108" s="7">
        <v>2</v>
      </c>
      <c r="H108" s="7"/>
      <c r="I108" s="7"/>
      <c r="J108" s="8">
        <v>0</v>
      </c>
    </row>
    <row r="109" spans="2:10" ht="30" hidden="1" customHeight="1" outlineLevel="1" x14ac:dyDescent="0.3">
      <c r="C109" s="23" t="s">
        <v>78</v>
      </c>
      <c r="D109" s="28">
        <v>4</v>
      </c>
      <c r="E109" s="6" t="s">
        <v>26</v>
      </c>
      <c r="F109" s="7">
        <v>69</v>
      </c>
      <c r="G109" s="7">
        <v>0.5</v>
      </c>
      <c r="H109" s="7"/>
      <c r="I109" s="7"/>
      <c r="J109" s="8">
        <v>0</v>
      </c>
    </row>
    <row r="110" spans="2:10" ht="30" hidden="1" customHeight="1" outlineLevel="1" x14ac:dyDescent="0.3">
      <c r="C110" s="23" t="s">
        <v>79</v>
      </c>
      <c r="D110" s="28">
        <v>4</v>
      </c>
      <c r="E110" s="6" t="s">
        <v>26</v>
      </c>
      <c r="F110" s="7">
        <v>70</v>
      </c>
      <c r="G110" s="7">
        <v>0.5</v>
      </c>
      <c r="H110" s="7"/>
      <c r="I110" s="7"/>
      <c r="J110" s="8">
        <v>0</v>
      </c>
    </row>
    <row r="111" spans="2:10" ht="30" hidden="1" customHeight="1" outlineLevel="1" x14ac:dyDescent="0.3">
      <c r="C111" s="23" t="s">
        <v>80</v>
      </c>
      <c r="D111" s="28">
        <v>4</v>
      </c>
      <c r="E111" s="6" t="s">
        <v>26</v>
      </c>
      <c r="F111" s="7">
        <v>70</v>
      </c>
      <c r="G111" s="7">
        <v>0.5</v>
      </c>
      <c r="H111" s="7"/>
      <c r="I111" s="7"/>
      <c r="J111" s="8">
        <v>0</v>
      </c>
    </row>
    <row r="112" spans="2:10" ht="30" customHeight="1" collapsed="1" x14ac:dyDescent="0.3">
      <c r="B112" t="s">
        <v>203</v>
      </c>
      <c r="C112" s="6" t="s">
        <v>96</v>
      </c>
      <c r="D112" s="27">
        <v>4</v>
      </c>
      <c r="E112" s="6" t="s">
        <v>26</v>
      </c>
      <c r="F112" s="7">
        <v>70</v>
      </c>
      <c r="G112" s="7">
        <v>3</v>
      </c>
      <c r="H112" s="7">
        <v>70</v>
      </c>
      <c r="I112" s="7"/>
      <c r="J112" s="8">
        <v>0</v>
      </c>
    </row>
    <row r="113" spans="2:10" ht="30" hidden="1" customHeight="1" outlineLevel="1" x14ac:dyDescent="0.3">
      <c r="B113" t="s">
        <v>241</v>
      </c>
      <c r="C113" s="23" t="s">
        <v>116</v>
      </c>
      <c r="D113" s="27">
        <v>4</v>
      </c>
      <c r="E113" s="6" t="s">
        <v>26</v>
      </c>
      <c r="F113" s="7">
        <v>58</v>
      </c>
      <c r="G113" s="7">
        <v>0.5</v>
      </c>
      <c r="H113" s="7"/>
      <c r="I113" s="7"/>
      <c r="J113" s="8">
        <v>0</v>
      </c>
    </row>
    <row r="114" spans="2:10" ht="30" hidden="1" customHeight="1" outlineLevel="1" x14ac:dyDescent="0.3">
      <c r="B114" t="s">
        <v>242</v>
      </c>
      <c r="C114" s="23" t="s">
        <v>117</v>
      </c>
      <c r="D114" s="27">
        <v>4</v>
      </c>
      <c r="E114" s="6" t="s">
        <v>26</v>
      </c>
      <c r="F114" s="7">
        <v>58</v>
      </c>
      <c r="G114" s="7">
        <v>0.5</v>
      </c>
      <c r="H114" s="7"/>
      <c r="I114" s="7"/>
      <c r="J114" s="8">
        <v>0</v>
      </c>
    </row>
    <row r="115" spans="2:10" ht="30" hidden="1" customHeight="1" outlineLevel="1" x14ac:dyDescent="0.3">
      <c r="B115" t="s">
        <v>243</v>
      </c>
      <c r="C115" s="23" t="s">
        <v>118</v>
      </c>
      <c r="D115" s="27">
        <v>4</v>
      </c>
      <c r="E115" s="6" t="s">
        <v>26</v>
      </c>
      <c r="F115" s="7">
        <v>59</v>
      </c>
      <c r="G115" s="7">
        <v>0.5</v>
      </c>
      <c r="H115" s="7"/>
      <c r="I115" s="7"/>
      <c r="J115" s="8">
        <v>0</v>
      </c>
    </row>
    <row r="116" spans="2:10" ht="30" hidden="1" customHeight="1" outlineLevel="1" x14ac:dyDescent="0.3">
      <c r="B116" t="s">
        <v>244</v>
      </c>
      <c r="C116" s="23" t="s">
        <v>119</v>
      </c>
      <c r="D116" s="27">
        <v>4</v>
      </c>
      <c r="E116" s="6" t="s">
        <v>26</v>
      </c>
      <c r="F116" s="7">
        <v>59</v>
      </c>
      <c r="G116" s="7">
        <v>0.5</v>
      </c>
      <c r="H116" s="7"/>
      <c r="I116" s="7"/>
      <c r="J116" s="8">
        <v>0</v>
      </c>
    </row>
    <row r="117" spans="2:10" ht="30" hidden="1" customHeight="1" outlineLevel="1" x14ac:dyDescent="0.3">
      <c r="B117" t="s">
        <v>245</v>
      </c>
      <c r="C117" s="23" t="s">
        <v>120</v>
      </c>
      <c r="D117" s="27">
        <v>4</v>
      </c>
      <c r="E117" s="6" t="s">
        <v>26</v>
      </c>
      <c r="F117" s="7">
        <v>60</v>
      </c>
      <c r="G117" s="7">
        <v>0.5</v>
      </c>
      <c r="H117" s="7"/>
      <c r="I117" s="7"/>
      <c r="J117" s="8">
        <v>0</v>
      </c>
    </row>
    <row r="118" spans="2:10" ht="30" hidden="1" customHeight="1" outlineLevel="1" x14ac:dyDescent="0.3">
      <c r="B118" t="s">
        <v>246</v>
      </c>
      <c r="C118" s="23" t="s">
        <v>121</v>
      </c>
      <c r="D118" s="27">
        <v>4</v>
      </c>
      <c r="E118" s="6" t="s">
        <v>26</v>
      </c>
      <c r="F118" s="7">
        <v>60</v>
      </c>
      <c r="G118" s="7">
        <v>0.5</v>
      </c>
      <c r="H118" s="7"/>
      <c r="I118" s="7"/>
      <c r="J118" s="8">
        <v>0</v>
      </c>
    </row>
    <row r="119" spans="2:10" ht="30" customHeight="1" collapsed="1" x14ac:dyDescent="0.3">
      <c r="B119" t="s">
        <v>204</v>
      </c>
      <c r="C119" s="6" t="s">
        <v>218</v>
      </c>
      <c r="D119" s="27">
        <v>4</v>
      </c>
      <c r="E119" s="6" t="s">
        <v>127</v>
      </c>
      <c r="F119" s="7">
        <v>73</v>
      </c>
      <c r="G119" s="7">
        <v>3</v>
      </c>
      <c r="H119" s="7"/>
      <c r="I119" s="7"/>
      <c r="J119" s="8">
        <v>0</v>
      </c>
    </row>
    <row r="120" spans="2:10" ht="30" customHeight="1" x14ac:dyDescent="0.3">
      <c r="B120" t="s">
        <v>205</v>
      </c>
      <c r="C120" s="6" t="s">
        <v>219</v>
      </c>
      <c r="D120" s="27">
        <v>4</v>
      </c>
      <c r="E120" s="6" t="s">
        <v>127</v>
      </c>
      <c r="F120" s="7">
        <v>73</v>
      </c>
      <c r="G120" s="7">
        <v>3</v>
      </c>
      <c r="H120" s="7"/>
      <c r="I120" s="7"/>
      <c r="J120" s="8">
        <v>0</v>
      </c>
    </row>
    <row r="121" spans="2:10" ht="30" customHeight="1" x14ac:dyDescent="0.3">
      <c r="B121" t="s">
        <v>206</v>
      </c>
      <c r="C121" s="6" t="s">
        <v>220</v>
      </c>
      <c r="D121" s="27">
        <v>4</v>
      </c>
      <c r="E121" s="6" t="s">
        <v>127</v>
      </c>
      <c r="F121" s="7">
        <v>73</v>
      </c>
      <c r="G121" s="7">
        <v>3</v>
      </c>
      <c r="H121" s="7"/>
      <c r="I121" s="7"/>
      <c r="J121" s="8">
        <v>0</v>
      </c>
    </row>
    <row r="122" spans="2:10" ht="30" customHeight="1" x14ac:dyDescent="0.3">
      <c r="B122" t="s">
        <v>207</v>
      </c>
      <c r="C122" s="6" t="s">
        <v>221</v>
      </c>
      <c r="D122" s="27">
        <v>4</v>
      </c>
      <c r="E122" s="6" t="s">
        <v>127</v>
      </c>
      <c r="F122" s="7">
        <v>73</v>
      </c>
      <c r="G122" s="7">
        <v>3</v>
      </c>
      <c r="H122" s="7"/>
      <c r="I122" s="7"/>
      <c r="J122" s="8">
        <v>0</v>
      </c>
    </row>
    <row r="123" spans="2:10" ht="30" hidden="1" customHeight="1" outlineLevel="1" x14ac:dyDescent="0.3">
      <c r="B123" t="s">
        <v>226</v>
      </c>
      <c r="C123" s="23" t="s">
        <v>222</v>
      </c>
      <c r="D123" s="27">
        <v>4</v>
      </c>
      <c r="E123" s="6" t="s">
        <v>127</v>
      </c>
      <c r="F123" s="7">
        <v>67</v>
      </c>
      <c r="G123" s="7">
        <v>0.5</v>
      </c>
      <c r="H123" s="7"/>
      <c r="I123" s="7"/>
      <c r="J123" s="8">
        <v>0</v>
      </c>
    </row>
    <row r="124" spans="2:10" ht="30" hidden="1" customHeight="1" outlineLevel="1" x14ac:dyDescent="0.3">
      <c r="B124" t="s">
        <v>227</v>
      </c>
      <c r="C124" s="23" t="s">
        <v>223</v>
      </c>
      <c r="D124" s="27">
        <v>4</v>
      </c>
      <c r="E124" s="6" t="s">
        <v>127</v>
      </c>
      <c r="F124" s="7">
        <v>67</v>
      </c>
      <c r="G124" s="7">
        <v>0.5</v>
      </c>
      <c r="H124" s="7"/>
      <c r="I124" s="7"/>
      <c r="J124" s="8">
        <v>0</v>
      </c>
    </row>
    <row r="125" spans="2:10" ht="30" hidden="1" customHeight="1" outlineLevel="1" x14ac:dyDescent="0.3">
      <c r="B125" t="s">
        <v>228</v>
      </c>
      <c r="C125" s="23" t="s">
        <v>224</v>
      </c>
      <c r="D125" s="27">
        <v>4</v>
      </c>
      <c r="E125" s="6" t="s">
        <v>127</v>
      </c>
      <c r="F125" s="7">
        <v>68</v>
      </c>
      <c r="G125" s="7">
        <v>1</v>
      </c>
      <c r="H125" s="7"/>
      <c r="I125" s="7"/>
      <c r="J125" s="8">
        <v>0</v>
      </c>
    </row>
    <row r="126" spans="2:10" ht="30" hidden="1" customHeight="1" outlineLevel="1" x14ac:dyDescent="0.3">
      <c r="B126" t="s">
        <v>229</v>
      </c>
      <c r="C126" s="23" t="s">
        <v>225</v>
      </c>
      <c r="D126" s="27">
        <v>4</v>
      </c>
      <c r="E126" s="6" t="s">
        <v>127</v>
      </c>
      <c r="F126" s="7">
        <v>69</v>
      </c>
      <c r="G126" s="7">
        <v>1</v>
      </c>
      <c r="H126" s="7"/>
      <c r="I126" s="7"/>
      <c r="J126" s="8">
        <v>0</v>
      </c>
    </row>
    <row r="127" spans="2:10" ht="30" customHeight="1" collapsed="1" x14ac:dyDescent="0.3">
      <c r="B127">
        <v>5</v>
      </c>
      <c r="C127" s="6" t="s">
        <v>11</v>
      </c>
      <c r="D127" s="27">
        <v>5</v>
      </c>
      <c r="E127" s="6"/>
      <c r="F127" s="9">
        <v>78</v>
      </c>
      <c r="G127" s="7">
        <v>7</v>
      </c>
      <c r="H127" s="7"/>
      <c r="I127" s="7"/>
      <c r="J127" s="8">
        <v>0</v>
      </c>
    </row>
    <row r="128" spans="2:10" ht="30" customHeight="1" x14ac:dyDescent="0.3">
      <c r="B128">
        <v>6</v>
      </c>
      <c r="C128" s="6" t="s">
        <v>1</v>
      </c>
      <c r="D128" s="27">
        <v>5</v>
      </c>
      <c r="E128" s="6" t="s">
        <v>13</v>
      </c>
      <c r="F128" s="7">
        <v>78</v>
      </c>
      <c r="G128" s="7">
        <v>7</v>
      </c>
      <c r="H128" s="7"/>
      <c r="I128" s="7"/>
      <c r="J128" s="8">
        <v>0</v>
      </c>
    </row>
    <row r="129" spans="3:10" ht="30" customHeight="1" x14ac:dyDescent="0.3">
      <c r="C129" s="6"/>
      <c r="D129" s="27"/>
      <c r="E129" s="6"/>
      <c r="F129" s="7"/>
      <c r="G129" s="7"/>
      <c r="H129" s="7"/>
      <c r="I129" s="7"/>
      <c r="J129" s="8">
        <v>0</v>
      </c>
    </row>
  </sheetData>
  <mergeCells count="13">
    <mergeCell ref="C1:J1"/>
    <mergeCell ref="I3:I4"/>
    <mergeCell ref="AJ2:AQ2"/>
    <mergeCell ref="J3:J4"/>
    <mergeCell ref="N2:R2"/>
    <mergeCell ref="T2:V2"/>
    <mergeCell ref="X2:AA2"/>
    <mergeCell ref="AC2:AH2"/>
    <mergeCell ref="B3:B4"/>
    <mergeCell ref="C3:C4"/>
    <mergeCell ref="F3:F4"/>
    <mergeCell ref="G3:G4"/>
    <mergeCell ref="H3:H4"/>
  </mergeCells>
  <phoneticPr fontId="18" type="noConversion"/>
  <conditionalFormatting sqref="C130:DI130">
    <cfRule type="expression" dxfId="12" priority="58">
      <formula>TRUE</formula>
    </cfRule>
  </conditionalFormatting>
  <conditionalFormatting sqref="K4:DI4">
    <cfRule type="expression" dxfId="11" priority="64">
      <formula>K$4=period_selected</formula>
    </cfRule>
  </conditionalFormatting>
  <conditionalFormatting sqref="K5:DI70 K71:AF77 AI71:DI77 K78:DI129">
    <cfRule type="expression" dxfId="10" priority="6">
      <formula>K$4=period_selected</formula>
    </cfRule>
    <cfRule type="expression" dxfId="9" priority="7">
      <formula>MOD(COLUMN(),2)</formula>
    </cfRule>
    <cfRule type="expression" dxfId="8" priority="8">
      <formula>MOD(COLUMN(),2)=0</formula>
    </cfRule>
  </conditionalFormatting>
  <conditionalFormatting sqref="K5:DI70 K71:AG77 AI71:DI77 K78:DI129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Real</formula>
    </cfRule>
    <cfRule type="expression" dxfId="4" priority="4">
      <formula>ActualBeyond</formula>
    </cfRule>
    <cfRule type="expression" dxfId="3" priority="5">
      <formula>Plan</formula>
    </cfRule>
  </conditionalFormatting>
  <conditionalFormatting sqref="AG71:AG77">
    <cfRule type="expression" dxfId="2" priority="78">
      <formula>AH$4=period_selected</formula>
    </cfRule>
    <cfRule type="expression" dxfId="1" priority="79">
      <formula>MOD(COLUMN(),2)</formula>
    </cfRule>
    <cfRule type="expression" dxfId="0" priority="80">
      <formula>MOD(COLUMN(),2)=0</formula>
    </cfRule>
  </conditionalFormatting>
  <dataValidations count="16">
    <dataValidation allowBlank="1" showInputMessage="1" showErrorMessage="1" prompt="El planificador de proyectos usa periodos para los intervalos. Inicio = 1 es el periodo 1 y la duración = 5 significa que el proyecto dura 5 periodos desde el periodo de inicio. Introduzca datos a partir de la celda B5 para actualizar el gráfico." sqref="A1:B1" xr:uid="{00000000-0002-0000-0000-000000000000}"/>
    <dataValidation type="list" errorStyle="warning" allowBlank="1" showInputMessage="1" showErrorMessage="1" error="Escriba un valor del 1 al 60 o seleccione un periodo de la lista (presione CANCELAR, ALT+FLECHA ABAJO y, a continuación, presione ENTRAR para seleccionar un valor)." prompt="Escriba un periodo en el intervalo de 1 a 60 o seleccione un periodo de la lista. Presione ALT+FLECHA ABAJO para desplazarse a la lista y, después, presione ENTRAR para seleccionar un valor." sqref="K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M2" xr:uid="{00000000-0002-0000-0000-000002000000}"/>
    <dataValidation allowBlank="1" showInputMessage="1" showErrorMessage="1" prompt="Esta celda de la leyenda indica la duración real" sqref="S2" xr:uid="{00000000-0002-0000-0000-000003000000}"/>
    <dataValidation allowBlank="1" showInputMessage="1" showErrorMessage="1" prompt="Esta celda de la leyenda indica el porcentaje del proyecto completado" sqref="W2" xr:uid="{00000000-0002-0000-0000-000004000000}"/>
    <dataValidation allowBlank="1" showInputMessage="1" showErrorMessage="1" prompt="Esta celda de la leyenda indica la duración real fuera del plan" sqref="AB2" xr:uid="{00000000-0002-0000-0000-000005000000}"/>
    <dataValidation allowBlank="1" showInputMessage="1" showErrorMessage="1" prompt="Esta celda de la leyenda indica el porcentaje del proyecto completado fuera del plan" sqref="AI2" xr:uid="{00000000-0002-0000-0000-000006000000}"/>
    <dataValidation allowBlank="1" showInputMessage="1" showErrorMessage="1" prompt="Los periodos se representan del 1 al 60, desde la celda H4 a la celda BO4 " sqref="K3:CP3" xr:uid="{00000000-0002-0000-0000-000007000000}"/>
    <dataValidation allowBlank="1" showInputMessage="1" showErrorMessage="1" prompt="Escriba la actividad en la columna B, a partir de la celda B5_x000a_" sqref="C3:E4" xr:uid="{00000000-0002-0000-0000-000008000000}"/>
    <dataValidation allowBlank="1" showInputMessage="1" showErrorMessage="1" prompt="Escriba el periodo de inicio del plan en la columna C, a partir de la celda C5." sqref="F3:F4" xr:uid="{00000000-0002-0000-0000-000009000000}"/>
    <dataValidation allowBlank="1" showInputMessage="1" showErrorMessage="1" prompt="Escriba el periodo de duración del plan en la columna D, a partir de la celda D5." sqref="G3:G4" xr:uid="{00000000-0002-0000-0000-00000A000000}"/>
    <dataValidation allowBlank="1" showInputMessage="1" showErrorMessage="1" prompt="Escriba el periodo de inicio real del plan en la columna E, a partir de la celda E5." sqref="H3:H4" xr:uid="{00000000-0002-0000-0000-00000B000000}"/>
    <dataValidation allowBlank="1" showInputMessage="1" showErrorMessage="1" prompt="Escriba el periodo de duración real del plan en la columna F, a partir de la celda F5." sqref="I3:I4" xr:uid="{00000000-0002-0000-0000-00000C000000}"/>
    <dataValidation allowBlank="1" showInputMessage="1" showErrorMessage="1" prompt="Escriba el porcentaje de proyecto completado en la columna G, a partir de la celda G5." sqref="J3:J4" xr:uid="{00000000-0002-0000-0000-00000D000000}"/>
    <dataValidation allowBlank="1" showInputMessage="1" showErrorMessage="1" prompt="Título del proyecto. Escriba un nuevo título en esta celda. Resalte un periodo en H2. La leyenda del gráfico está en las celdas J2 a AI2." sqref="C1:D1" xr:uid="{00000000-0002-0000-0000-00000E000000}"/>
    <dataValidation allowBlank="1" showInputMessage="1" showErrorMessage="1" prompt="Seleccione un período para resaltar en H2. La leyenda de un gráfico está en las celdas J2 a AI2." sqref="C2:I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D63E592732434A9DB7D0F02E379440" ma:contentTypeVersion="17" ma:contentTypeDescription="Crear nuevo documento." ma:contentTypeScope="" ma:versionID="6db4429236508c3041dc500787e9dbb4">
  <xsd:schema xmlns:xsd="http://www.w3.org/2001/XMLSchema" xmlns:xs="http://www.w3.org/2001/XMLSchema" xmlns:p="http://schemas.microsoft.com/office/2006/metadata/properties" xmlns:ns2="4ecf285e-078e-4100-b41e-d1323cf54407" xmlns:ns3="80e8a80f-cbbe-4f55-b0ac-7c33d8803f2f" targetNamespace="http://schemas.microsoft.com/office/2006/metadata/properties" ma:root="true" ma:fieldsID="11aa14a588ee35cec53c3708ce30e63e" ns2:_="" ns3:_="">
    <xsd:import namespace="4ecf285e-078e-4100-b41e-d1323cf54407"/>
    <xsd:import namespace="80e8a80f-cbbe-4f55-b0ac-7c33d8803f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f285e-078e-4100-b41e-d1323cf544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c60ce6ac-67d1-42ce-9507-033cdd0fb7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8a80f-cbbe-4f55-b0ac-7c33d8803f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d0f98f0-445b-4df6-b639-81275ce7d268}" ma:internalName="TaxCatchAll" ma:showField="CatchAllData" ma:web="80e8a80f-cbbe-4f55-b0ac-7c33d8803f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cf285e-078e-4100-b41e-d1323cf54407">
      <Terms xmlns="http://schemas.microsoft.com/office/infopath/2007/PartnerControls"/>
    </lcf76f155ced4ddcb4097134ff3c332f>
    <TaxCatchAll xmlns="80e8a80f-cbbe-4f55-b0ac-7c33d8803f2f" xsi:nil="true"/>
  </documentManagement>
</p:properties>
</file>

<file path=customXml/itemProps1.xml><?xml version="1.0" encoding="utf-8"?>
<ds:datastoreItem xmlns:ds="http://schemas.openxmlformats.org/officeDocument/2006/customXml" ds:itemID="{C4FF92F7-698D-4DE8-B064-5447BC794C1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BA721E4-4D1D-4E5A-B5C9-47F37977FF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cf285e-078e-4100-b41e-d1323cf54407"/>
    <ds:schemaRef ds:uri="80e8a80f-cbbe-4f55-b0ac-7c33d8803f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D55E59-3557-4725-8C9B-5512D24CC02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798BCA0-B10D-4EC2-B55D-FE017E3B2007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4ecf285e-078e-4100-b41e-d1323cf54407"/>
    <ds:schemaRef ds:uri="http://purl.org/dc/dcmitype/"/>
    <ds:schemaRef ds:uri="80e8a80f-cbbe-4f55-b0ac-7c33d8803f2f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9744600e-3e04-492e-baa1-25ec245c6f10}" enabled="0" method="" siteId="{9744600e-3e04-492e-baa1-25ec245c6f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GANTT DIAGRAM</vt:lpstr>
      <vt:lpstr>period_selected</vt:lpstr>
      <vt:lpstr>'GANTT DIAGRAM'!Print_Titles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2021-12-27T22:07:09Z</dcterms:created>
  <dcterms:modified xsi:type="dcterms:W3CDTF">2025-11-21T03:22:04Z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0x0101004AD63E592732434A9DB7D0F02E379440</vt:lpwstr>
  </property>
  <property fmtid="{D5CDD505-2E9C-101B-9397-08002B2CF9AE}" pid="3" name="MediaServiceImageTags">
    <vt:lpwstr/>
  </property>
</Properties>
</file>